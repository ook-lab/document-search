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マイドライブ\部数会議用計算書\"/>
    </mc:Choice>
  </mc:AlternateContent>
  <xr:revisionPtr revIDLastSave="0" documentId="13_ncr:1_{83B6C902-B28A-4823-AAF7-6A1200A4ACA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新刊" sheetId="1" r:id="rId1"/>
    <sheet name="重版" sheetId="5" r:id="rId2"/>
    <sheet name="Module1 加藤作成台計算単価関数" sheetId="3" state="veryHidden" r:id=""/>
  </sheets>
  <functionGroups builtInGroupCount="19"/>
  <definedNames>
    <definedName name="BISHOUDOU34SHOKU">[0]!BISHOUDOU34SHOKU</definedName>
    <definedName name="NAGEKOMITANKA">[0]!NAGEKOMITANKA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5" i="1" s="1"/>
  <c r="G43" i="1"/>
  <c r="C43" i="1"/>
  <c r="V42" i="1"/>
  <c r="U42" i="1" s="1"/>
  <c r="Q42" i="1"/>
  <c r="T42" i="1" s="1"/>
  <c r="W42" i="1" s="1"/>
  <c r="Z42" i="1" s="1"/>
  <c r="Z45" i="1" s="1"/>
  <c r="J42" i="1"/>
  <c r="G42" i="1"/>
  <c r="G45" i="1" s="1"/>
  <c r="C42" i="1"/>
  <c r="C39" i="1"/>
  <c r="G39" i="1" s="1"/>
  <c r="V38" i="1"/>
  <c r="U38" i="1"/>
  <c r="Q38" i="1"/>
  <c r="T38" i="1" s="1"/>
  <c r="W38" i="1" s="1"/>
  <c r="Z38" i="1" s="1"/>
  <c r="Z41" i="1" s="1"/>
  <c r="J38" i="1"/>
  <c r="C38" i="1"/>
  <c r="G38" i="1" s="1"/>
  <c r="G41" i="1" s="1"/>
  <c r="G75" i="5" l="1"/>
  <c r="J25" i="1" l="1"/>
  <c r="G13" i="1"/>
  <c r="G11" i="1"/>
  <c r="G10" i="1"/>
  <c r="G9" i="1"/>
  <c r="D8" i="1"/>
  <c r="G8" i="1"/>
  <c r="D7" i="1"/>
  <c r="D6" i="1"/>
  <c r="G6" i="1" s="1"/>
  <c r="G14" i="1" s="1"/>
  <c r="Q25" i="1" l="1"/>
  <c r="Q30" i="1"/>
  <c r="Q34" i="1"/>
  <c r="F61" i="5" l="1"/>
  <c r="H67" i="5" l="1"/>
  <c r="H64" i="5"/>
  <c r="H63" i="5"/>
  <c r="H62" i="5"/>
  <c r="H61" i="5"/>
  <c r="H64" i="1"/>
  <c r="H63" i="1"/>
  <c r="H62" i="1"/>
  <c r="H61" i="1"/>
  <c r="H66" i="5" l="1"/>
  <c r="H66" i="1"/>
  <c r="U3" i="5"/>
  <c r="B62" i="5" s="1"/>
  <c r="X3" i="5"/>
  <c r="L6" i="5" s="1"/>
  <c r="I6" i="5" s="1"/>
  <c r="Z57" i="5"/>
  <c r="N57" i="5"/>
  <c r="J54" i="5"/>
  <c r="Z53" i="5"/>
  <c r="N53" i="5"/>
  <c r="J50" i="5"/>
  <c r="Z49" i="5"/>
  <c r="N49" i="5"/>
  <c r="J46" i="5"/>
  <c r="Q42" i="5"/>
  <c r="Q38" i="5"/>
  <c r="Q34" i="5"/>
  <c r="T34" i="5" s="1"/>
  <c r="N32" i="5"/>
  <c r="Q30" i="5"/>
  <c r="T30" i="5" s="1"/>
  <c r="Q25" i="5"/>
  <c r="K27" i="5" s="1"/>
  <c r="N27" i="5" s="1"/>
  <c r="A20" i="5"/>
  <c r="A45" i="5"/>
  <c r="A44" i="5"/>
  <c r="A43" i="5"/>
  <c r="A41" i="5"/>
  <c r="A40" i="5"/>
  <c r="A39" i="5"/>
  <c r="A37" i="5"/>
  <c r="A36" i="5"/>
  <c r="A35" i="5"/>
  <c r="A33" i="5"/>
  <c r="A32" i="5"/>
  <c r="A31" i="5"/>
  <c r="A29" i="5"/>
  <c r="A28" i="5"/>
  <c r="A27" i="5"/>
  <c r="A16" i="5"/>
  <c r="A15" i="5"/>
  <c r="A14" i="5"/>
  <c r="F28" i="5"/>
  <c r="F31" i="5"/>
  <c r="F35" i="5"/>
  <c r="F34" i="5"/>
  <c r="F39" i="5"/>
  <c r="F38" i="5"/>
  <c r="F43" i="5"/>
  <c r="F42" i="5"/>
  <c r="F47" i="5"/>
  <c r="F46" i="5"/>
  <c r="F51" i="5"/>
  <c r="F50" i="5"/>
  <c r="F55" i="5"/>
  <c r="F54" i="5"/>
  <c r="D72" i="5"/>
  <c r="E72" i="5" s="1"/>
  <c r="D71" i="5"/>
  <c r="E71" i="5" s="1"/>
  <c r="D70" i="5"/>
  <c r="E70" i="5" s="1"/>
  <c r="D69" i="5"/>
  <c r="E69" i="5" s="1"/>
  <c r="D68" i="5"/>
  <c r="E68" i="5" s="1"/>
  <c r="D67" i="5"/>
  <c r="E67" i="5" s="1"/>
  <c r="D66" i="5"/>
  <c r="E66" i="5" s="1"/>
  <c r="D65" i="5"/>
  <c r="E65" i="5" s="1"/>
  <c r="D64" i="5"/>
  <c r="E64" i="5" s="1"/>
  <c r="D63" i="5"/>
  <c r="E63" i="5" s="1"/>
  <c r="C62" i="5"/>
  <c r="C61" i="5"/>
  <c r="Z49" i="1"/>
  <c r="N49" i="1"/>
  <c r="C47" i="1"/>
  <c r="G47" i="1" s="1"/>
  <c r="J46" i="1"/>
  <c r="C46" i="1"/>
  <c r="G46" i="1" s="1"/>
  <c r="Z53" i="1"/>
  <c r="N53" i="1"/>
  <c r="C51" i="1"/>
  <c r="G51" i="1" s="1"/>
  <c r="J50" i="1"/>
  <c r="C50" i="1"/>
  <c r="G50" i="1" s="1"/>
  <c r="J54" i="1"/>
  <c r="J34" i="1"/>
  <c r="S80" i="5"/>
  <c r="V80" i="5" s="1"/>
  <c r="AC80" i="5" s="1"/>
  <c r="H79" i="5"/>
  <c r="E76" i="5"/>
  <c r="H78" i="5"/>
  <c r="E73" i="5"/>
  <c r="T72" i="5"/>
  <c r="L72" i="5"/>
  <c r="H74" i="5"/>
  <c r="H73" i="5"/>
  <c r="I69" i="5"/>
  <c r="J68" i="5" s="1"/>
  <c r="H72" i="5"/>
  <c r="O68" i="5"/>
  <c r="K68" i="5"/>
  <c r="K66" i="5" s="1"/>
  <c r="H69" i="5"/>
  <c r="H68" i="5"/>
  <c r="N64" i="5"/>
  <c r="M64" i="5"/>
  <c r="E79" i="5"/>
  <c r="E80" i="5" s="1"/>
  <c r="D80" i="5" s="1"/>
  <c r="C55" i="5"/>
  <c r="C54" i="5"/>
  <c r="C51" i="5"/>
  <c r="C50" i="5"/>
  <c r="C47" i="5"/>
  <c r="C46" i="5"/>
  <c r="G27" i="5"/>
  <c r="G26" i="5"/>
  <c r="F14" i="5"/>
  <c r="D2" i="5"/>
  <c r="C55" i="1"/>
  <c r="G55" i="1" s="1"/>
  <c r="C54" i="1"/>
  <c r="G54" i="1" s="1"/>
  <c r="L7" i="5" l="1"/>
  <c r="I7" i="5" s="1"/>
  <c r="L17" i="5"/>
  <c r="R17" i="5" s="1"/>
  <c r="L19" i="5"/>
  <c r="Q19" i="5" s="1"/>
  <c r="L21" i="5"/>
  <c r="Q21" i="5" s="1"/>
  <c r="I68" i="5"/>
  <c r="G47" i="5"/>
  <c r="V9" i="5"/>
  <c r="U9" i="5" s="1"/>
  <c r="G54" i="5"/>
  <c r="C25" i="5"/>
  <c r="G25" i="5" s="1"/>
  <c r="C34" i="5"/>
  <c r="G34" i="5" s="1"/>
  <c r="V42" i="5"/>
  <c r="U42" i="5" s="1"/>
  <c r="L20" i="5"/>
  <c r="Q20" i="5" s="1"/>
  <c r="G55" i="5"/>
  <c r="C28" i="5"/>
  <c r="G28" i="5" s="1"/>
  <c r="V34" i="5"/>
  <c r="U34" i="5" s="1"/>
  <c r="T38" i="5"/>
  <c r="L68" i="5"/>
  <c r="O64" i="5" s="1"/>
  <c r="V7" i="5"/>
  <c r="U7" i="5" s="1"/>
  <c r="V30" i="5"/>
  <c r="U30" i="5" s="1"/>
  <c r="V38" i="5"/>
  <c r="U38" i="5" s="1"/>
  <c r="K34" i="5"/>
  <c r="J25" i="5"/>
  <c r="V25" i="5"/>
  <c r="U25" i="5" s="1"/>
  <c r="J34" i="5"/>
  <c r="G51" i="5"/>
  <c r="O66" i="5"/>
  <c r="G46" i="5"/>
  <c r="G49" i="5" s="1"/>
  <c r="J30" i="5"/>
  <c r="T42" i="5"/>
  <c r="L8" i="5"/>
  <c r="T8" i="5" s="1"/>
  <c r="K8" i="5" s="1"/>
  <c r="B61" i="5"/>
  <c r="D61" i="5" s="1"/>
  <c r="E61" i="5" s="1"/>
  <c r="R19" i="5"/>
  <c r="K30" i="5"/>
  <c r="K31" i="5" s="1"/>
  <c r="J38" i="5"/>
  <c r="M68" i="5"/>
  <c r="M66" i="5" s="1"/>
  <c r="C43" i="5"/>
  <c r="G43" i="5" s="1"/>
  <c r="G50" i="5"/>
  <c r="C12" i="5"/>
  <c r="C30" i="5"/>
  <c r="G30" i="5" s="1"/>
  <c r="V6" i="5"/>
  <c r="U6" i="5" s="1"/>
  <c r="V8" i="5"/>
  <c r="U8" i="5" s="1"/>
  <c r="L18" i="5"/>
  <c r="O18" i="5" s="1"/>
  <c r="R21" i="5"/>
  <c r="T25" i="5"/>
  <c r="J42" i="5"/>
  <c r="O17" i="5"/>
  <c r="S17" i="5"/>
  <c r="J17" i="5"/>
  <c r="Q6" i="5"/>
  <c r="L9" i="5"/>
  <c r="K38" i="5"/>
  <c r="T6" i="5"/>
  <c r="T7" i="5"/>
  <c r="Q17" i="5"/>
  <c r="S19" i="5"/>
  <c r="S21" i="5"/>
  <c r="K42" i="5"/>
  <c r="H17" i="5"/>
  <c r="M17" i="5"/>
  <c r="O19" i="5"/>
  <c r="O21" i="5"/>
  <c r="C35" i="5"/>
  <c r="G35" i="5" s="1"/>
  <c r="C42" i="5"/>
  <c r="G42" i="5" s="1"/>
  <c r="C14" i="5"/>
  <c r="G14" i="5" s="1"/>
  <c r="C38" i="5"/>
  <c r="G38" i="5" s="1"/>
  <c r="C31" i="5"/>
  <c r="G31" i="5" s="1"/>
  <c r="C39" i="5"/>
  <c r="G39" i="5" s="1"/>
  <c r="C7" i="5"/>
  <c r="G53" i="1"/>
  <c r="H80" i="5"/>
  <c r="G80" i="5" s="1"/>
  <c r="H70" i="5"/>
  <c r="R68" i="5" s="1"/>
  <c r="A17" i="5"/>
  <c r="F18" i="5" s="1"/>
  <c r="D62" i="5"/>
  <c r="E62" i="5" s="1"/>
  <c r="G49" i="1"/>
  <c r="N72" i="5"/>
  <c r="W72" i="5"/>
  <c r="L66" i="5"/>
  <c r="G57" i="1"/>
  <c r="M30" i="5"/>
  <c r="M38" i="5"/>
  <c r="M34" i="5"/>
  <c r="M31" i="5"/>
  <c r="M42" i="5"/>
  <c r="M8" i="5"/>
  <c r="J7" i="5" l="1"/>
  <c r="Q7" i="5"/>
  <c r="N68" i="5"/>
  <c r="H75" i="5" s="1"/>
  <c r="H76" i="5" s="1"/>
  <c r="G53" i="5"/>
  <c r="G57" i="5"/>
  <c r="J6" i="5"/>
  <c r="M21" i="5"/>
  <c r="I21" i="5"/>
  <c r="G29" i="5"/>
  <c r="J21" i="5"/>
  <c r="H21" i="5"/>
  <c r="H19" i="5"/>
  <c r="W7" i="5"/>
  <c r="Z7" i="5" s="1"/>
  <c r="O20" i="5"/>
  <c r="S20" i="5"/>
  <c r="H20" i="5"/>
  <c r="T21" i="5"/>
  <c r="W68" i="5"/>
  <c r="W66" i="5" s="1"/>
  <c r="R20" i="5"/>
  <c r="E12" i="5"/>
  <c r="G12" i="5" s="1"/>
  <c r="W42" i="5"/>
  <c r="Z42" i="5" s="1"/>
  <c r="Z45" i="5" s="1"/>
  <c r="I20" i="5"/>
  <c r="G33" i="5"/>
  <c r="R18" i="5"/>
  <c r="Q8" i="5"/>
  <c r="Q18" i="5"/>
  <c r="W38" i="5"/>
  <c r="Z38" i="5" s="1"/>
  <c r="Z41" i="5" s="1"/>
  <c r="G37" i="5"/>
  <c r="J18" i="5"/>
  <c r="T19" i="5"/>
  <c r="K19" i="5" s="1"/>
  <c r="G45" i="5"/>
  <c r="W6" i="5"/>
  <c r="Z6" i="5" s="1"/>
  <c r="W30" i="5"/>
  <c r="Z30" i="5" s="1"/>
  <c r="Z33" i="5" s="1"/>
  <c r="W34" i="5"/>
  <c r="Z34" i="5" s="1"/>
  <c r="Z37" i="5" s="1"/>
  <c r="M18" i="5"/>
  <c r="N34" i="5"/>
  <c r="N37" i="5" s="1"/>
  <c r="N42" i="5"/>
  <c r="N45" i="5" s="1"/>
  <c r="N38" i="5"/>
  <c r="N41" i="5" s="1"/>
  <c r="H18" i="5"/>
  <c r="W8" i="5"/>
  <c r="Z8" i="5" s="1"/>
  <c r="B20" i="5"/>
  <c r="N30" i="5"/>
  <c r="S18" i="5"/>
  <c r="W25" i="5"/>
  <c r="Z25" i="5" s="1"/>
  <c r="Z29" i="5" s="1"/>
  <c r="K25" i="5"/>
  <c r="G70" i="5"/>
  <c r="T9" i="5"/>
  <c r="Q9" i="5"/>
  <c r="N8" i="5"/>
  <c r="N31" i="5"/>
  <c r="T17" i="5"/>
  <c r="K17" i="5" s="1"/>
  <c r="N17" i="5" s="1"/>
  <c r="K7" i="5"/>
  <c r="K6" i="5"/>
  <c r="G41" i="5"/>
  <c r="B18" i="5"/>
  <c r="D74" i="5"/>
  <c r="E74" i="5" s="1"/>
  <c r="E75" i="5" s="1"/>
  <c r="E77" i="5" s="1"/>
  <c r="E18" i="5"/>
  <c r="G19" i="5"/>
  <c r="B19" i="5"/>
  <c r="B17" i="5"/>
  <c r="R66" i="5"/>
  <c r="R64" i="5"/>
  <c r="Z72" i="5"/>
  <c r="N66" i="5"/>
  <c r="P72" i="5"/>
  <c r="U68" i="5"/>
  <c r="G76" i="5"/>
  <c r="M19" i="5"/>
  <c r="M25" i="5"/>
  <c r="M20" i="5"/>
  <c r="M7" i="5"/>
  <c r="M6" i="5"/>
  <c r="W64" i="5" l="1"/>
  <c r="T20" i="5"/>
  <c r="K20" i="5"/>
  <c r="K21" i="5"/>
  <c r="N21" i="5" s="1"/>
  <c r="N33" i="5"/>
  <c r="T18" i="5"/>
  <c r="K18" i="5" s="1"/>
  <c r="N18" i="5" s="1"/>
  <c r="N25" i="5"/>
  <c r="K26" i="5"/>
  <c r="N26" i="5" s="1"/>
  <c r="W9" i="5"/>
  <c r="K9" i="5"/>
  <c r="N6" i="5"/>
  <c r="N7" i="5"/>
  <c r="D75" i="5"/>
  <c r="D77" i="5" s="1"/>
  <c r="D17" i="5"/>
  <c r="X68" i="5"/>
  <c r="U64" i="5"/>
  <c r="U66" i="5"/>
  <c r="M9" i="5"/>
  <c r="N29" i="5" l="1"/>
  <c r="N9" i="5"/>
  <c r="N16" i="5" s="1"/>
  <c r="Z9" i="5"/>
  <c r="W11" i="5"/>
  <c r="Z11" i="5" s="1"/>
  <c r="X66" i="5"/>
  <c r="X64" i="5"/>
  <c r="Z16" i="5" l="1"/>
  <c r="E76" i="1" l="1"/>
  <c r="T72" i="1"/>
  <c r="L72" i="1"/>
  <c r="E79" i="1"/>
  <c r="E73" i="1"/>
  <c r="E72" i="1"/>
  <c r="E71" i="1"/>
  <c r="E70" i="1"/>
  <c r="E69" i="1"/>
  <c r="E68" i="1"/>
  <c r="E67" i="1"/>
  <c r="E66" i="1"/>
  <c r="E65" i="1"/>
  <c r="E64" i="1"/>
  <c r="E63" i="1"/>
  <c r="B62" i="1"/>
  <c r="B61" i="1"/>
  <c r="D61" i="1" s="1"/>
  <c r="V9" i="1"/>
  <c r="U9" i="1" s="1"/>
  <c r="V8" i="1"/>
  <c r="U8" i="1" s="1"/>
  <c r="V7" i="1"/>
  <c r="U7" i="1" s="1"/>
  <c r="V6" i="1"/>
  <c r="U6" i="1" s="1"/>
  <c r="V34" i="1"/>
  <c r="V30" i="1"/>
  <c r="V25" i="1"/>
  <c r="U25" i="1" s="1"/>
  <c r="A17" i="1"/>
  <c r="L21" i="1"/>
  <c r="Q21" i="1" s="1"/>
  <c r="L20" i="1"/>
  <c r="Q20" i="1" s="1"/>
  <c r="L19" i="1"/>
  <c r="Q19" i="1" s="1"/>
  <c r="L18" i="1"/>
  <c r="Q18" i="1" s="1"/>
  <c r="L17" i="1"/>
  <c r="Q17" i="1" s="1"/>
  <c r="L9" i="1"/>
  <c r="Q9" i="1" s="1"/>
  <c r="L8" i="1"/>
  <c r="Q8" i="1" s="1"/>
  <c r="L6" i="1"/>
  <c r="L7" i="1"/>
  <c r="Q7" i="1" s="1"/>
  <c r="D7" i="5"/>
  <c r="G7" i="5" s="1"/>
  <c r="G16" i="5" s="1"/>
  <c r="O68" i="1"/>
  <c r="N64" i="1"/>
  <c r="M64" i="1"/>
  <c r="I69" i="1"/>
  <c r="J68" i="1" s="1"/>
  <c r="K68" i="1"/>
  <c r="T6" i="1" l="1"/>
  <c r="I6" i="1"/>
  <c r="Z57" i="1"/>
  <c r="T8" i="1"/>
  <c r="W8" i="1" s="1"/>
  <c r="T9" i="1"/>
  <c r="W9" i="1" s="1"/>
  <c r="Q6" i="1"/>
  <c r="T7" i="1"/>
  <c r="W7" i="1" s="1"/>
  <c r="U34" i="1"/>
  <c r="U30" i="1"/>
  <c r="W6" i="1" l="1"/>
  <c r="W11" i="1" s="1"/>
  <c r="D2" i="1" l="1"/>
  <c r="H79" i="1"/>
  <c r="H78" i="1"/>
  <c r="H74" i="1"/>
  <c r="H73" i="1"/>
  <c r="L68" i="1"/>
  <c r="H72" i="1"/>
  <c r="O66" i="1"/>
  <c r="K66" i="1"/>
  <c r="H69" i="1"/>
  <c r="H68" i="1"/>
  <c r="H67" i="1"/>
  <c r="E61" i="1"/>
  <c r="E80" i="1"/>
  <c r="D80" i="1" s="1"/>
  <c r="H80" i="1" l="1"/>
  <c r="G80" i="1" s="1"/>
  <c r="H70" i="1"/>
  <c r="G70" i="1" s="1"/>
  <c r="O64" i="1"/>
  <c r="W68" i="1"/>
  <c r="N68" i="1"/>
  <c r="H75" i="1" s="1"/>
  <c r="H76" i="1" s="1"/>
  <c r="G76" i="1" s="1"/>
  <c r="L66" i="1"/>
  <c r="I68" i="1"/>
  <c r="M68" i="1"/>
  <c r="R68" i="1" l="1"/>
  <c r="R64" i="1" s="1"/>
  <c r="U68" i="1"/>
  <c r="W66" i="1"/>
  <c r="W64" i="1"/>
  <c r="W72" i="1"/>
  <c r="M66" i="1"/>
  <c r="N72" i="1"/>
  <c r="N66" i="1"/>
  <c r="Z72" i="1"/>
  <c r="P72" i="1"/>
  <c r="R66" i="1" l="1"/>
  <c r="X68" i="1"/>
  <c r="U66" i="1"/>
  <c r="U64" i="1"/>
  <c r="X66" i="1" l="1"/>
  <c r="X64" i="1"/>
  <c r="K9" i="1"/>
  <c r="T30" i="1"/>
  <c r="W30" i="1" s="1"/>
  <c r="Z30" i="1" s="1"/>
  <c r="K27" i="1"/>
  <c r="N27" i="1" s="1"/>
  <c r="C7" i="1"/>
  <c r="K8" i="1"/>
  <c r="C12" i="1"/>
  <c r="J6" i="1" s="1"/>
  <c r="C25" i="1"/>
  <c r="G25" i="1" s="1"/>
  <c r="G26" i="1"/>
  <c r="G27" i="1"/>
  <c r="C28" i="1"/>
  <c r="G28" i="1" s="1"/>
  <c r="C30" i="1"/>
  <c r="G30" i="1" s="1"/>
  <c r="J30" i="1"/>
  <c r="C31" i="1"/>
  <c r="G31" i="1" s="1"/>
  <c r="N32" i="1"/>
  <c r="C34" i="1"/>
  <c r="G34" i="1" s="1"/>
  <c r="T34" i="1"/>
  <c r="C35" i="1"/>
  <c r="G35" i="1" s="1"/>
  <c r="D62" i="1"/>
  <c r="E62" i="1" s="1"/>
  <c r="S17" i="1"/>
  <c r="R18" i="1"/>
  <c r="R21" i="1"/>
  <c r="S21" i="1"/>
  <c r="O19" i="1"/>
  <c r="S18" i="1"/>
  <c r="B20" i="1"/>
  <c r="R19" i="1"/>
  <c r="H19" i="1"/>
  <c r="S19" i="1"/>
  <c r="O21" i="1"/>
  <c r="A21" i="1"/>
  <c r="A21" i="5" s="1"/>
  <c r="O18" i="1"/>
  <c r="H17" i="1"/>
  <c r="I7" i="1"/>
  <c r="T25" i="1"/>
  <c r="E12" i="1"/>
  <c r="O20" i="1"/>
  <c r="I21" i="1"/>
  <c r="H18" i="1"/>
  <c r="M9" i="1"/>
  <c r="M8" i="1"/>
  <c r="K38" i="1" l="1"/>
  <c r="K42" i="1"/>
  <c r="J7" i="1"/>
  <c r="W34" i="1"/>
  <c r="Z34" i="1" s="1"/>
  <c r="Z6" i="1"/>
  <c r="G37" i="1"/>
  <c r="W25" i="1"/>
  <c r="Z25" i="1" s="1"/>
  <c r="G33" i="1"/>
  <c r="G12" i="1"/>
  <c r="F19" i="1"/>
  <c r="G19" i="1" s="1"/>
  <c r="H20" i="1"/>
  <c r="F18" i="1"/>
  <c r="F17" i="1"/>
  <c r="F20" i="1" s="1"/>
  <c r="B18" i="1"/>
  <c r="B17" i="1"/>
  <c r="H21" i="1"/>
  <c r="D74" i="1"/>
  <c r="E74" i="1" s="1"/>
  <c r="S20" i="1"/>
  <c r="B19" i="1"/>
  <c r="A19" i="1"/>
  <c r="A19" i="5" s="1"/>
  <c r="T18" i="1"/>
  <c r="W18" i="1" s="1"/>
  <c r="G29" i="1"/>
  <c r="G7" i="1"/>
  <c r="R20" i="1"/>
  <c r="I20" i="1"/>
  <c r="R17" i="1"/>
  <c r="E18" i="1"/>
  <c r="O17" i="1"/>
  <c r="T19" i="1"/>
  <c r="T21" i="1"/>
  <c r="W21" i="1" s="1"/>
  <c r="K7" i="1"/>
  <c r="Z9" i="1"/>
  <c r="Z8" i="1"/>
  <c r="K25" i="1"/>
  <c r="Z7" i="1"/>
  <c r="N8" i="1"/>
  <c r="N9" i="1"/>
  <c r="K34" i="1"/>
  <c r="K30" i="1"/>
  <c r="Z33" i="1"/>
  <c r="K6" i="1"/>
  <c r="M38" i="1"/>
  <c r="M25" i="1"/>
  <c r="M6" i="1"/>
  <c r="M42" i="1"/>
  <c r="M34" i="1"/>
  <c r="M30" i="1"/>
  <c r="M7" i="1"/>
  <c r="N38" i="1" l="1"/>
  <c r="N41" i="1" s="1"/>
  <c r="Z37" i="1"/>
  <c r="V17" i="5"/>
  <c r="J19" i="5"/>
  <c r="N19" i="5" s="1"/>
  <c r="J20" i="5"/>
  <c r="N20" i="5" s="1"/>
  <c r="C17" i="5"/>
  <c r="G17" i="5" s="1"/>
  <c r="C18" i="5"/>
  <c r="G18" i="5" s="1"/>
  <c r="C20" i="5"/>
  <c r="G20" i="5" s="1"/>
  <c r="J20" i="1"/>
  <c r="J19" i="1"/>
  <c r="N57" i="1"/>
  <c r="D17" i="1"/>
  <c r="E75" i="1"/>
  <c r="E77" i="1" s="1"/>
  <c r="V17" i="1"/>
  <c r="J21" i="1"/>
  <c r="K18" i="1"/>
  <c r="K21" i="1"/>
  <c r="D75" i="1"/>
  <c r="D77" i="1" s="1"/>
  <c r="Z11" i="1"/>
  <c r="Z16" i="1" s="1"/>
  <c r="Z29" i="1"/>
  <c r="G16" i="1"/>
  <c r="C18" i="1"/>
  <c r="G18" i="1" s="1"/>
  <c r="J18" i="1"/>
  <c r="C17" i="1"/>
  <c r="C20" i="1"/>
  <c r="G20" i="1" s="1"/>
  <c r="J17" i="1"/>
  <c r="K19" i="1"/>
  <c r="T17" i="1"/>
  <c r="W17" i="1" s="1"/>
  <c r="T20" i="1"/>
  <c r="N7" i="1"/>
  <c r="N25" i="1"/>
  <c r="K26" i="1"/>
  <c r="N26" i="1" s="1"/>
  <c r="N6" i="1"/>
  <c r="K31" i="1"/>
  <c r="N30" i="1"/>
  <c r="N34" i="1"/>
  <c r="N37" i="1" s="1"/>
  <c r="M21" i="1"/>
  <c r="M18" i="1"/>
  <c r="M19" i="1"/>
  <c r="M31" i="1"/>
  <c r="G17" i="1" l="1"/>
  <c r="N24" i="5"/>
  <c r="N58" i="5" s="1"/>
  <c r="M58" i="5" s="1"/>
  <c r="V18" i="5"/>
  <c r="U17" i="5"/>
  <c r="W17" i="5" s="1"/>
  <c r="G24" i="5"/>
  <c r="G58" i="5" s="1"/>
  <c r="N19" i="1"/>
  <c r="N21" i="1"/>
  <c r="V18" i="1"/>
  <c r="U17" i="1"/>
  <c r="N18" i="1"/>
  <c r="G24" i="1"/>
  <c r="K17" i="1"/>
  <c r="K20" i="1"/>
  <c r="N16" i="1"/>
  <c r="N29" i="1"/>
  <c r="N31" i="1"/>
  <c r="N33" i="1" s="1"/>
  <c r="M17" i="1"/>
  <c r="M20" i="1"/>
  <c r="Z17" i="5" l="1"/>
  <c r="V19" i="5"/>
  <c r="U18" i="5"/>
  <c r="W18" i="5" s="1"/>
  <c r="F58" i="5"/>
  <c r="Q68" i="5"/>
  <c r="N20" i="1"/>
  <c r="G58" i="1"/>
  <c r="F58" i="1" s="1"/>
  <c r="U18" i="1"/>
  <c r="Z18" i="1" s="1"/>
  <c r="V19" i="1"/>
  <c r="Z17" i="1"/>
  <c r="N17" i="1"/>
  <c r="Z18" i="5" l="1"/>
  <c r="U19" i="5"/>
  <c r="W19" i="5" s="1"/>
  <c r="Z19" i="5" s="1"/>
  <c r="V20" i="5"/>
  <c r="Q64" i="5"/>
  <c r="Q66" i="5"/>
  <c r="N24" i="1"/>
  <c r="N58" i="1" s="1"/>
  <c r="M58" i="1" s="1"/>
  <c r="V20" i="1"/>
  <c r="U19" i="1"/>
  <c r="W19" i="1" l="1"/>
  <c r="Z19" i="1" s="1"/>
  <c r="U20" i="5"/>
  <c r="W20" i="5" s="1"/>
  <c r="Z20" i="5" s="1"/>
  <c r="V21" i="5"/>
  <c r="U21" i="5" s="1"/>
  <c r="W21" i="5" s="1"/>
  <c r="Z21" i="5" s="1"/>
  <c r="V21" i="1"/>
  <c r="U20" i="1"/>
  <c r="Q68" i="1"/>
  <c r="W20" i="1" l="1"/>
  <c r="Z20" i="1" s="1"/>
  <c r="W23" i="5"/>
  <c r="Z23" i="5" s="1"/>
  <c r="Z24" i="5" s="1"/>
  <c r="Z58" i="5" s="1"/>
  <c r="U21" i="1"/>
  <c r="Z21" i="1" s="1"/>
  <c r="Q64" i="1"/>
  <c r="Q66" i="1"/>
  <c r="P68" i="5" l="1"/>
  <c r="Y58" i="5"/>
  <c r="W23" i="1"/>
  <c r="Z23" i="1" s="1"/>
  <c r="Z24" i="1" s="1"/>
  <c r="Z58" i="1" s="1"/>
  <c r="P64" i="5" l="1"/>
  <c r="P66" i="5"/>
  <c r="S68" i="5"/>
  <c r="Y58" i="1"/>
  <c r="P68" i="1"/>
  <c r="T68" i="5" l="1"/>
  <c r="T74" i="5"/>
  <c r="L74" i="5"/>
  <c r="S66" i="5"/>
  <c r="S64" i="5"/>
  <c r="P64" i="1"/>
  <c r="P66" i="1"/>
  <c r="S68" i="1"/>
  <c r="S76" i="5" l="1"/>
  <c r="W74" i="5"/>
  <c r="T76" i="5"/>
  <c r="K76" i="5"/>
  <c r="N74" i="5"/>
  <c r="P74" i="5"/>
  <c r="L76" i="5"/>
  <c r="T64" i="5"/>
  <c r="T66" i="5"/>
  <c r="Z68" i="5"/>
  <c r="T74" i="1"/>
  <c r="L74" i="1"/>
  <c r="T68" i="1"/>
  <c r="S66" i="1"/>
  <c r="S64" i="1"/>
  <c r="Z66" i="5" l="1"/>
  <c r="Z64" i="5"/>
  <c r="P76" i="5"/>
  <c r="O76" i="5"/>
  <c r="U76" i="5"/>
  <c r="Z74" i="5"/>
  <c r="W76" i="5"/>
  <c r="M76" i="5"/>
  <c r="N76" i="5"/>
  <c r="T66" i="1"/>
  <c r="Z68" i="1"/>
  <c r="T64" i="1"/>
  <c r="L76" i="1"/>
  <c r="N74" i="1"/>
  <c r="P74" i="1"/>
  <c r="K76" i="1"/>
  <c r="W74" i="1"/>
  <c r="S76" i="1"/>
  <c r="T76" i="1"/>
  <c r="X76" i="5" l="1"/>
  <c r="Z76" i="5"/>
  <c r="AC78" i="5" s="1"/>
  <c r="W76" i="1"/>
  <c r="U76" i="1"/>
  <c r="Z74" i="1"/>
  <c r="O76" i="1"/>
  <c r="P76" i="1"/>
  <c r="Z66" i="1"/>
  <c r="Z64" i="1"/>
  <c r="N76" i="1"/>
  <c r="M76" i="1"/>
  <c r="X76" i="1" l="1"/>
  <c r="Z76" i="1"/>
</calcChain>
</file>

<file path=xl/sharedStrings.xml><?xml version="1.0" encoding="utf-8"?>
<sst xmlns="http://schemas.openxmlformats.org/spreadsheetml/2006/main" count="499" uniqueCount="180">
  <si>
    <t>部数</t>
  </si>
  <si>
    <t>製　　　　　　　　　　　　　版</t>
  </si>
  <si>
    <t>印　　　刷　　　加　　　工</t>
  </si>
  <si>
    <t>材　　　　　　　　　　　　　　　　　　料　</t>
  </si>
  <si>
    <r>
      <t>種別</t>
    </r>
    <r>
      <rPr>
        <sz val="12"/>
        <rFont val="標準ゴシック"/>
        <family val="3"/>
        <charset val="128"/>
      </rPr>
      <t>色</t>
    </r>
  </si>
  <si>
    <t>内訳</t>
  </si>
  <si>
    <t>色</t>
  </si>
  <si>
    <t>頁数</t>
  </si>
  <si>
    <t>数</t>
  </si>
  <si>
    <t>単価</t>
  </si>
  <si>
    <t>金額</t>
  </si>
  <si>
    <t>種別</t>
  </si>
  <si>
    <t>（裁）</t>
  </si>
  <si>
    <t>台数</t>
  </si>
  <si>
    <t>材料</t>
  </si>
  <si>
    <t>面付</t>
  </si>
  <si>
    <t>実用</t>
  </si>
  <si>
    <t>ヤレ％</t>
  </si>
  <si>
    <t>計</t>
  </si>
  <si>
    <t>金 額</t>
  </si>
  <si>
    <t>本文用紙</t>
  </si>
  <si>
    <t>製版</t>
  </si>
  <si>
    <t>本</t>
  </si>
  <si>
    <t>本文（  ８頁）　</t>
  </si>
  <si>
    <t>刷版</t>
  </si>
  <si>
    <t>文</t>
  </si>
  <si>
    <t>訂正代</t>
  </si>
  <si>
    <t>×</t>
  </si>
  <si>
    <t>その他</t>
  </si>
  <si>
    <t>※本文、５０００枚以下は台計算</t>
  </si>
  <si>
    <t>カバー</t>
  </si>
  <si>
    <t>カバー印刷</t>
  </si>
  <si>
    <t>カバー用紙</t>
  </si>
  <si>
    <t>直し代</t>
  </si>
  <si>
    <t>％</t>
  </si>
  <si>
    <t>分解代</t>
  </si>
  <si>
    <t>※カバー、５０００枚以下は台計算</t>
  </si>
  <si>
    <t>タチ代</t>
  </si>
  <si>
    <t>版修正代</t>
  </si>
  <si>
    <t>帯</t>
  </si>
  <si>
    <t>帯印刷スミ</t>
  </si>
  <si>
    <t>帯　用　紙</t>
  </si>
  <si>
    <t>帯印刷ベタ</t>
  </si>
  <si>
    <t>※帯、４０９１枚以下は台計算</t>
  </si>
  <si>
    <t>表紙</t>
  </si>
  <si>
    <t>表紙印刷</t>
  </si>
  <si>
    <t>表紙用紙</t>
  </si>
  <si>
    <t>訂　正　代</t>
  </si>
  <si>
    <t>製版単価の</t>
  </si>
  <si>
    <t>※口絵、５０００枚以下は台計算</t>
  </si>
  <si>
    <t xml:space="preserve"> </t>
  </si>
  <si>
    <t>本文（６４頁）　</t>
    <phoneticPr fontId="14"/>
  </si>
  <si>
    <t>本文（３２頁）　</t>
    <phoneticPr fontId="14"/>
  </si>
  <si>
    <t>本文（１６頁）　</t>
    <phoneticPr fontId="14"/>
  </si>
  <si>
    <t>ブライト</t>
    <phoneticPr fontId="14"/>
  </si>
  <si>
    <r>
      <rPr>
        <b/>
        <sz val="18"/>
        <rFont val="游ゴシック"/>
        <family val="3"/>
        <charset val="128"/>
      </rPr>
      <t>部数</t>
    </r>
    <rPh sb="0" eb="2">
      <t>ブスウ</t>
    </rPh>
    <phoneticPr fontId="14"/>
  </si>
  <si>
    <r>
      <rPr>
        <b/>
        <sz val="18"/>
        <rFont val="游ゴシック"/>
        <family val="3"/>
        <charset val="128"/>
      </rPr>
      <t>部</t>
    </r>
    <phoneticPr fontId="14"/>
  </si>
  <si>
    <r>
      <rPr>
        <b/>
        <sz val="18"/>
        <rFont val="游ゴシック"/>
        <family val="3"/>
        <charset val="128"/>
      </rPr>
      <t>正味率</t>
    </r>
    <rPh sb="0" eb="2">
      <t>ショウミ</t>
    </rPh>
    <rPh sb="2" eb="3">
      <t>リツ</t>
    </rPh>
    <phoneticPr fontId="14"/>
  </si>
  <si>
    <r>
      <rPr>
        <b/>
        <sz val="18"/>
        <rFont val="游ゴシック"/>
        <family val="3"/>
        <charset val="128"/>
      </rPr>
      <t>本体価格</t>
    </r>
    <rPh sb="0" eb="2">
      <t>ホンタイ</t>
    </rPh>
    <rPh sb="2" eb="4">
      <t>カカク</t>
    </rPh>
    <phoneticPr fontId="14"/>
  </si>
  <si>
    <r>
      <rPr>
        <b/>
        <sz val="18"/>
        <rFont val="ＭＳ Ｐゴシック"/>
        <family val="3"/>
        <charset val="128"/>
      </rPr>
      <t>契約部数</t>
    </r>
    <rPh sb="0" eb="2">
      <t>ケイヤク</t>
    </rPh>
    <rPh sb="2" eb="4">
      <t>ブスウ</t>
    </rPh>
    <phoneticPr fontId="16"/>
  </si>
  <si>
    <r>
      <rPr>
        <b/>
        <sz val="17"/>
        <rFont val="ＭＳ Ｐゴシック"/>
        <family val="3"/>
        <charset val="128"/>
      </rPr>
      <t>見積売上率</t>
    </r>
    <rPh sb="0" eb="2">
      <t>ミツ</t>
    </rPh>
    <rPh sb="2" eb="4">
      <t>ウリアゲ</t>
    </rPh>
    <rPh sb="4" eb="5">
      <t>リツ</t>
    </rPh>
    <phoneticPr fontId="16"/>
  </si>
  <si>
    <r>
      <rPr>
        <b/>
        <sz val="17"/>
        <rFont val="游ゴシック"/>
        <family val="3"/>
        <charset val="128"/>
      </rPr>
      <t>他利益</t>
    </r>
    <rPh sb="0" eb="1">
      <t>ホカ</t>
    </rPh>
    <rPh sb="1" eb="3">
      <t>リエキ</t>
    </rPh>
    <phoneticPr fontId="14"/>
  </si>
  <si>
    <r>
      <rPr>
        <sz val="20"/>
        <rFont val="游ゴシック"/>
        <family val="3"/>
        <charset val="128"/>
      </rPr>
      <t>年</t>
    </r>
  </si>
  <si>
    <r>
      <rPr>
        <sz val="20"/>
        <rFont val="游ゴシック"/>
        <family val="3"/>
        <charset val="128"/>
      </rPr>
      <t>月</t>
    </r>
  </si>
  <si>
    <r>
      <rPr>
        <sz val="20"/>
        <rFont val="游ゴシック"/>
        <family val="3"/>
        <charset val="128"/>
      </rPr>
      <t>日　発売</t>
    </r>
  </si>
  <si>
    <r>
      <rPr>
        <b/>
        <sz val="20"/>
        <rFont val="游ゴシック"/>
        <family val="3"/>
        <charset val="128"/>
      </rPr>
      <t>字詰</t>
    </r>
  </si>
  <si>
    <r>
      <rPr>
        <b/>
        <sz val="20"/>
        <rFont val="游ゴシック"/>
        <family val="3"/>
        <charset val="128"/>
      </rPr>
      <t>Ｗ　</t>
    </r>
    <r>
      <rPr>
        <b/>
        <sz val="20"/>
        <rFont val="Arial"/>
        <family val="2"/>
      </rPr>
      <t>×</t>
    </r>
  </si>
  <si>
    <r>
      <rPr>
        <b/>
        <sz val="20"/>
        <rFont val="游ゴシック"/>
        <family val="3"/>
        <charset val="128"/>
      </rPr>
      <t>Ｌ　</t>
    </r>
    <r>
      <rPr>
        <b/>
        <sz val="20"/>
        <rFont val="Arial"/>
        <family val="2"/>
      </rPr>
      <t>×</t>
    </r>
  </si>
  <si>
    <r>
      <rPr>
        <b/>
        <sz val="20"/>
        <rFont val="游ゴシック"/>
        <family val="3"/>
        <charset val="128"/>
      </rPr>
      <t>段組</t>
    </r>
  </si>
  <si>
    <r>
      <rPr>
        <b/>
        <sz val="20"/>
        <rFont val="游ゴシック"/>
        <family val="3"/>
        <charset val="128"/>
      </rPr>
      <t>ハシラ</t>
    </r>
  </si>
  <si>
    <r>
      <rPr>
        <b/>
        <sz val="20"/>
        <color indexed="8"/>
        <rFont val="游ゴシック"/>
        <family val="3"/>
        <charset val="128"/>
      </rPr>
      <t>あり</t>
    </r>
    <phoneticPr fontId="14"/>
  </si>
  <si>
    <r>
      <rPr>
        <b/>
        <sz val="20"/>
        <rFont val="游ゴシック"/>
        <family val="3"/>
        <charset val="128"/>
      </rPr>
      <t>口絵</t>
    </r>
  </si>
  <si>
    <r>
      <rPr>
        <b/>
        <sz val="20"/>
        <rFont val="游ゴシック"/>
        <family val="3"/>
        <charset val="128"/>
      </rPr>
      <t>頁＋</t>
    </r>
    <r>
      <rPr>
        <b/>
        <sz val="20"/>
        <rFont val="Arial"/>
        <family val="2"/>
      </rPr>
      <t xml:space="preserve">  </t>
    </r>
    <r>
      <rPr>
        <b/>
        <sz val="20"/>
        <rFont val="游ゴシック"/>
        <family val="3"/>
        <charset val="128"/>
      </rPr>
      <t>本文</t>
    </r>
  </si>
  <si>
    <r>
      <rPr>
        <b/>
        <sz val="20"/>
        <rFont val="游ゴシック"/>
        <family val="3"/>
        <charset val="128"/>
      </rPr>
      <t>頁</t>
    </r>
  </si>
  <si>
    <r>
      <rPr>
        <b/>
        <sz val="18"/>
        <rFont val="游ゴシック"/>
        <family val="3"/>
        <charset val="128"/>
      </rPr>
      <t>合計</t>
    </r>
    <phoneticPr fontId="14"/>
  </si>
  <si>
    <r>
      <rPr>
        <sz val="12"/>
        <rFont val="游ゴシック"/>
        <family val="3"/>
        <charset val="128"/>
      </rPr>
      <t>※口絵５７１５枚以下は台計算</t>
    </r>
  </si>
  <si>
    <r>
      <rPr>
        <b/>
        <sz val="18"/>
        <rFont val="游ゴシック"/>
        <family val="3"/>
        <charset val="128"/>
      </rPr>
      <t>合計</t>
    </r>
  </si>
  <si>
    <r>
      <rPr>
        <b/>
        <sz val="24"/>
        <color theme="1"/>
        <rFont val="游ゴシック"/>
        <family val="3"/>
        <charset val="128"/>
      </rPr>
      <t>製　　　　本　　　　費</t>
    </r>
    <rPh sb="0" eb="1">
      <t>セイ</t>
    </rPh>
    <rPh sb="5" eb="6">
      <t>ホン</t>
    </rPh>
    <rPh sb="10" eb="11">
      <t>ヒ</t>
    </rPh>
    <phoneticPr fontId="14"/>
  </si>
  <si>
    <r>
      <rPr>
        <b/>
        <sz val="24"/>
        <color theme="1"/>
        <rFont val="游ゴシック"/>
        <family val="3"/>
        <charset val="128"/>
      </rPr>
      <t>製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本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費　</t>
    </r>
    <r>
      <rPr>
        <b/>
        <sz val="24"/>
        <color theme="1"/>
        <rFont val="Arial"/>
        <family val="2"/>
      </rPr>
      <t>(</t>
    </r>
    <r>
      <rPr>
        <b/>
        <sz val="24"/>
        <color theme="1"/>
        <rFont val="游ゴシック"/>
        <family val="3"/>
        <charset val="128"/>
      </rPr>
      <t>改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装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費</t>
    </r>
    <r>
      <rPr>
        <b/>
        <sz val="24"/>
        <color theme="1"/>
        <rFont val="Arial"/>
        <family val="2"/>
      </rPr>
      <t>)</t>
    </r>
    <rPh sb="9" eb="10">
      <t>カイ</t>
    </rPh>
    <rPh sb="11" eb="12">
      <t>ソウ</t>
    </rPh>
    <rPh sb="13" eb="14">
      <t>ヒ</t>
    </rPh>
    <phoneticPr fontId="16"/>
  </si>
  <si>
    <r>
      <rPr>
        <b/>
        <sz val="28"/>
        <color theme="1"/>
        <rFont val="ＭＳ Ｐゴシック"/>
        <family val="3"/>
        <charset val="128"/>
      </rPr>
      <t>予　　　　　　　　　　　　　　　　算　　　　　　　　　　　　　　　　見　　　　　　　　　　　　　　　　積　　　　　　　　　　　　　　　　損　　　　　　　　　　　　　　　　益</t>
    </r>
    <rPh sb="0" eb="1">
      <t>ヨ</t>
    </rPh>
    <rPh sb="17" eb="18">
      <t>サン</t>
    </rPh>
    <rPh sb="34" eb="35">
      <t>ミ</t>
    </rPh>
    <rPh sb="51" eb="52">
      <t>セキ</t>
    </rPh>
    <rPh sb="68" eb="69">
      <t>ソン</t>
    </rPh>
    <rPh sb="85" eb="86">
      <t>エキ</t>
    </rPh>
    <phoneticPr fontId="16"/>
  </si>
  <si>
    <r>
      <rPr>
        <sz val="12"/>
        <rFont val="游ゴシック"/>
        <family val="3"/>
        <charset val="128"/>
      </rPr>
      <t>種</t>
    </r>
    <r>
      <rPr>
        <sz val="12"/>
        <rFont val="Arial"/>
        <family val="2"/>
      </rPr>
      <t xml:space="preserve">    </t>
    </r>
    <r>
      <rPr>
        <sz val="12"/>
        <rFont val="游ゴシック"/>
        <family val="3"/>
        <charset val="128"/>
      </rPr>
      <t>別</t>
    </r>
    <phoneticPr fontId="14"/>
  </si>
  <si>
    <r>
      <rPr>
        <sz val="12"/>
        <rFont val="游ゴシック"/>
        <family val="3"/>
        <charset val="128"/>
      </rPr>
      <t>折</t>
    </r>
  </si>
  <si>
    <r>
      <t>1</t>
    </r>
    <r>
      <rPr>
        <sz val="12"/>
        <rFont val="游ゴシック"/>
        <family val="3"/>
        <charset val="128"/>
      </rPr>
      <t>折単価</t>
    </r>
    <rPh sb="1" eb="2">
      <t>オリ</t>
    </rPh>
    <phoneticPr fontId="14"/>
  </si>
  <si>
    <r>
      <rPr>
        <sz val="12"/>
        <rFont val="游ゴシック"/>
        <family val="3"/>
        <charset val="128"/>
      </rPr>
      <t>単価</t>
    </r>
    <rPh sb="0" eb="2">
      <t>タンカ</t>
    </rPh>
    <phoneticPr fontId="14"/>
  </si>
  <si>
    <r>
      <rPr>
        <sz val="12"/>
        <rFont val="游ゴシック"/>
        <family val="3"/>
        <charset val="128"/>
      </rPr>
      <t>金　額</t>
    </r>
  </si>
  <si>
    <r>
      <rPr>
        <sz val="10"/>
        <rFont val="游ゴシック"/>
        <family val="3"/>
        <charset val="128"/>
      </rPr>
      <t>昭図</t>
    </r>
    <r>
      <rPr>
        <sz val="10"/>
        <rFont val="Arial"/>
        <family val="2"/>
      </rPr>
      <t>&amp;</t>
    </r>
    <r>
      <rPr>
        <sz val="10"/>
        <rFont val="游ゴシック"/>
        <family val="3"/>
        <charset val="128"/>
      </rPr>
      <t>製作改装費</t>
    </r>
    <rPh sb="0" eb="1">
      <t>アキラ</t>
    </rPh>
    <rPh sb="1" eb="2">
      <t>ズ</t>
    </rPh>
    <rPh sb="3" eb="5">
      <t>セイサク</t>
    </rPh>
    <rPh sb="5" eb="7">
      <t>カイソウ</t>
    </rPh>
    <rPh sb="7" eb="8">
      <t>ヒ</t>
    </rPh>
    <phoneticPr fontId="16"/>
  </si>
  <si>
    <r>
      <rPr>
        <sz val="12"/>
        <rFont val="游ゴシック"/>
        <family val="3"/>
        <charset val="128"/>
      </rPr>
      <t>本　文</t>
    </r>
  </si>
  <si>
    <r>
      <rPr>
        <sz val="12"/>
        <rFont val="游ゴシック"/>
        <family val="3"/>
        <charset val="128"/>
      </rPr>
      <t>口絵</t>
    </r>
    <phoneticPr fontId="16"/>
  </si>
  <si>
    <r>
      <rPr>
        <b/>
        <sz val="24"/>
        <color theme="1"/>
        <rFont val="游ゴシック"/>
        <family val="3"/>
        <charset val="128"/>
      </rPr>
      <t>編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集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原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価</t>
    </r>
    <rPh sb="8" eb="9">
      <t>ハラ</t>
    </rPh>
    <rPh sb="12" eb="13">
      <t>アタイ</t>
    </rPh>
    <phoneticPr fontId="14"/>
  </si>
  <si>
    <r>
      <t>(</t>
    </r>
    <r>
      <rPr>
        <sz val="18"/>
        <color theme="1"/>
        <rFont val="ＭＳ Ｐゴシック"/>
        <family val="3"/>
        <charset val="128"/>
      </rPr>
      <t>税込価格</t>
    </r>
    <r>
      <rPr>
        <sz val="18"/>
        <color theme="1"/>
        <rFont val="Arial"/>
        <family val="2"/>
      </rPr>
      <t>)</t>
    </r>
    <rPh sb="1" eb="3">
      <t>ゼイコ</t>
    </rPh>
    <rPh sb="3" eb="5">
      <t>カカク</t>
    </rPh>
    <phoneticPr fontId="16"/>
  </si>
  <si>
    <r>
      <rPr>
        <sz val="18"/>
        <color theme="1"/>
        <rFont val="ＭＳ Ｐゴシック"/>
        <family val="3"/>
        <charset val="128"/>
      </rPr>
      <t>正味本体価</t>
    </r>
    <rPh sb="0" eb="2">
      <t>ショウミ</t>
    </rPh>
    <rPh sb="2" eb="4">
      <t>ホンタイ</t>
    </rPh>
    <phoneticPr fontId="16"/>
  </si>
  <si>
    <r>
      <rPr>
        <sz val="18"/>
        <color theme="1"/>
        <rFont val="ＭＳ Ｐゴシック"/>
        <family val="3"/>
        <charset val="128"/>
      </rPr>
      <t>発行部数</t>
    </r>
    <rPh sb="0" eb="2">
      <t>ハッコウ</t>
    </rPh>
    <rPh sb="2" eb="4">
      <t>ブスウ</t>
    </rPh>
    <phoneticPr fontId="16"/>
  </si>
  <si>
    <r>
      <rPr>
        <sz val="18"/>
        <color theme="1"/>
        <rFont val="ＭＳ Ｐゴシック"/>
        <family val="3"/>
        <charset val="128"/>
      </rPr>
      <t>発行正味</t>
    </r>
    <rPh sb="0" eb="2">
      <t>ハッコウ</t>
    </rPh>
    <rPh sb="2" eb="4">
      <t>ショウミ</t>
    </rPh>
    <phoneticPr fontId="16"/>
  </si>
  <si>
    <r>
      <rPr>
        <sz val="18"/>
        <color theme="1"/>
        <rFont val="ＭＳ Ｐゴシック"/>
        <family val="3"/>
        <charset val="128"/>
      </rPr>
      <t>売上部数</t>
    </r>
    <rPh sb="0" eb="2">
      <t>ウリアゲ</t>
    </rPh>
    <rPh sb="2" eb="4">
      <t>ブスウ</t>
    </rPh>
    <phoneticPr fontId="16"/>
  </si>
  <si>
    <r>
      <rPr>
        <sz val="18"/>
        <color theme="1"/>
        <rFont val="ＭＳ Ｐゴシック"/>
        <family val="3"/>
        <charset val="128"/>
      </rPr>
      <t>売上高</t>
    </r>
    <rPh sb="0" eb="2">
      <t>ウリアゲ</t>
    </rPh>
    <rPh sb="2" eb="3">
      <t>タカ</t>
    </rPh>
    <phoneticPr fontId="16"/>
  </si>
  <si>
    <r>
      <rPr>
        <sz val="18"/>
        <color theme="1"/>
        <rFont val="ＭＳ Ｐゴシック"/>
        <family val="3"/>
        <charset val="128"/>
      </rPr>
      <t>他利益</t>
    </r>
    <rPh sb="0" eb="1">
      <t>ホカ</t>
    </rPh>
    <rPh sb="1" eb="3">
      <t>リエキ</t>
    </rPh>
    <phoneticPr fontId="16"/>
  </si>
  <si>
    <r>
      <rPr>
        <sz val="18"/>
        <color theme="1"/>
        <rFont val="ＭＳ Ｐゴシック"/>
        <family val="3"/>
        <charset val="128"/>
      </rPr>
      <t>用紙費</t>
    </r>
    <rPh sb="0" eb="2">
      <t>ヨウシ</t>
    </rPh>
    <rPh sb="2" eb="3">
      <t>ヒ</t>
    </rPh>
    <phoneticPr fontId="16"/>
  </si>
  <si>
    <r>
      <rPr>
        <sz val="18"/>
        <color theme="1"/>
        <rFont val="ＭＳ Ｐゴシック"/>
        <family val="3"/>
        <charset val="128"/>
      </rPr>
      <t>制作費</t>
    </r>
    <rPh sb="0" eb="3">
      <t>セイサクヒ</t>
    </rPh>
    <phoneticPr fontId="16"/>
  </si>
  <si>
    <r>
      <rPr>
        <sz val="18"/>
        <color theme="1"/>
        <rFont val="ＭＳ Ｐゴシック"/>
        <family val="3"/>
        <charset val="128"/>
      </rPr>
      <t>編集原価</t>
    </r>
    <rPh sb="0" eb="2">
      <t>ヘンシュウ</t>
    </rPh>
    <rPh sb="2" eb="4">
      <t>ゲンカ</t>
    </rPh>
    <phoneticPr fontId="16"/>
  </si>
  <si>
    <r>
      <rPr>
        <sz val="18"/>
        <color theme="1"/>
        <rFont val="ＭＳ Ｐゴシック"/>
        <family val="3"/>
        <charset val="128"/>
      </rPr>
      <t>製造原価</t>
    </r>
    <r>
      <rPr>
        <sz val="18"/>
        <color theme="1"/>
        <rFont val="Arial"/>
        <family val="2"/>
      </rPr>
      <t xml:space="preserve"> </t>
    </r>
    <r>
      <rPr>
        <sz val="18"/>
        <color theme="1"/>
        <rFont val="ＭＳ Ｐゴシック"/>
        <family val="3"/>
        <charset val="128"/>
      </rPr>
      <t>計</t>
    </r>
    <rPh sb="0" eb="2">
      <t>セイゾウ</t>
    </rPh>
    <rPh sb="2" eb="4">
      <t>ゲンカ</t>
    </rPh>
    <rPh sb="5" eb="6">
      <t>ケイ</t>
    </rPh>
    <phoneticPr fontId="16"/>
  </si>
  <si>
    <r>
      <rPr>
        <sz val="18"/>
        <color theme="1"/>
        <rFont val="ＭＳ Ｐゴシック"/>
        <family val="3"/>
        <charset val="128"/>
      </rPr>
      <t>売上利益</t>
    </r>
    <rPh sb="0" eb="2">
      <t>ウリアゲ</t>
    </rPh>
    <rPh sb="2" eb="4">
      <t>リエキ</t>
    </rPh>
    <phoneticPr fontId="16"/>
  </si>
  <si>
    <r>
      <rPr>
        <sz val="18"/>
        <color theme="1"/>
        <rFont val="ＭＳ Ｐゴシック"/>
        <family val="3"/>
        <charset val="128"/>
      </rPr>
      <t>直接経費</t>
    </r>
    <rPh sb="0" eb="2">
      <t>チョクセツ</t>
    </rPh>
    <rPh sb="2" eb="4">
      <t>ケイヒ</t>
    </rPh>
    <phoneticPr fontId="16"/>
  </si>
  <si>
    <r>
      <rPr>
        <sz val="18"/>
        <color theme="1"/>
        <rFont val="ＭＳ Ｐゴシック"/>
        <family val="3"/>
        <charset val="128"/>
      </rPr>
      <t>間接経費</t>
    </r>
    <rPh sb="0" eb="2">
      <t>カンセツ</t>
    </rPh>
    <rPh sb="2" eb="4">
      <t>ケイヒ</t>
    </rPh>
    <phoneticPr fontId="16"/>
  </si>
  <si>
    <r>
      <rPr>
        <sz val="18"/>
        <color theme="1"/>
        <rFont val="ＭＳ Ｐゴシック"/>
        <family val="3"/>
        <charset val="128"/>
      </rPr>
      <t>経費</t>
    </r>
    <r>
      <rPr>
        <sz val="18"/>
        <color theme="1"/>
        <rFont val="Arial"/>
        <family val="2"/>
      </rPr>
      <t xml:space="preserve"> </t>
    </r>
    <r>
      <rPr>
        <sz val="18"/>
        <color theme="1"/>
        <rFont val="ＭＳ Ｐゴシック"/>
        <family val="3"/>
        <charset val="128"/>
      </rPr>
      <t>計</t>
    </r>
    <rPh sb="0" eb="2">
      <t>ケイヒ</t>
    </rPh>
    <rPh sb="3" eb="4">
      <t>ケイ</t>
    </rPh>
    <phoneticPr fontId="16"/>
  </si>
  <si>
    <r>
      <rPr>
        <sz val="18"/>
        <color theme="1"/>
        <rFont val="ＭＳ Ｐゴシック"/>
        <family val="3"/>
        <charset val="128"/>
      </rPr>
      <t>営業利益</t>
    </r>
    <rPh sb="0" eb="2">
      <t>エイギョウ</t>
    </rPh>
    <rPh sb="2" eb="4">
      <t>リエキ</t>
    </rPh>
    <phoneticPr fontId="16"/>
  </si>
  <si>
    <r>
      <rPr>
        <sz val="12"/>
        <rFont val="游ゴシック"/>
        <family val="3"/>
        <charset val="128"/>
      </rPr>
      <t>見　返</t>
    </r>
  </si>
  <si>
    <r>
      <rPr>
        <sz val="18"/>
        <color theme="1"/>
        <rFont val="ＭＳ Ｐゴシック"/>
        <family val="3"/>
        <charset val="128"/>
      </rPr>
      <t>本体価格</t>
    </r>
    <rPh sb="0" eb="2">
      <t>ホンタイ</t>
    </rPh>
    <rPh sb="2" eb="4">
      <t>カカク</t>
    </rPh>
    <phoneticPr fontId="16"/>
  </si>
  <si>
    <r>
      <rPr>
        <sz val="12"/>
        <rFont val="游ゴシック"/>
        <family val="3"/>
        <charset val="128"/>
      </rPr>
      <t>表　紙</t>
    </r>
  </si>
  <si>
    <r>
      <rPr>
        <sz val="12"/>
        <rFont val="游ゴシック"/>
        <family val="3"/>
        <charset val="128"/>
      </rPr>
      <t>稿画料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1">
      <t>コウ</t>
    </rPh>
    <rPh sb="1" eb="2">
      <t>ガ</t>
    </rPh>
    <rPh sb="2" eb="3">
      <t>リョウ</t>
    </rPh>
    <phoneticPr fontId="14"/>
  </si>
  <si>
    <r>
      <rPr>
        <sz val="12"/>
        <rFont val="游ゴシック"/>
        <family val="3"/>
        <charset val="128"/>
      </rPr>
      <t>スリップ</t>
    </r>
  </si>
  <si>
    <r>
      <rPr>
        <sz val="12"/>
        <rFont val="游ゴシック"/>
        <family val="3"/>
        <charset val="128"/>
      </rPr>
      <t>編集費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2">
      <t>ヘンシュウ</t>
    </rPh>
    <rPh sb="2" eb="3">
      <t>ヒ</t>
    </rPh>
    <phoneticPr fontId="14"/>
  </si>
  <si>
    <r>
      <rPr>
        <sz val="12"/>
        <rFont val="游ゴシック"/>
        <family val="3"/>
        <charset val="128"/>
      </rPr>
      <t>カバー</t>
    </r>
  </si>
  <si>
    <r>
      <rPr>
        <sz val="12"/>
        <rFont val="游ゴシック"/>
        <family val="3"/>
        <charset val="128"/>
      </rPr>
      <t>付録他</t>
    </r>
    <rPh sb="0" eb="2">
      <t>フロク</t>
    </rPh>
    <rPh sb="2" eb="3">
      <t>ホカ</t>
    </rPh>
    <phoneticPr fontId="14"/>
  </si>
  <si>
    <r>
      <rPr>
        <sz val="12"/>
        <rFont val="游ゴシック"/>
        <family val="3"/>
        <charset val="128"/>
      </rPr>
      <t>帯</t>
    </r>
  </si>
  <si>
    <r>
      <rPr>
        <sz val="12"/>
        <rFont val="游ゴシック"/>
        <family val="3"/>
        <charset val="128"/>
      </rPr>
      <t>投　込</t>
    </r>
  </si>
  <si>
    <r>
      <rPr>
        <b/>
        <sz val="24"/>
        <color theme="1"/>
        <rFont val="游ゴシック"/>
        <family val="3"/>
        <charset val="128"/>
      </rPr>
      <t>直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接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経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費</t>
    </r>
    <rPh sb="0" eb="1">
      <t>チョク</t>
    </rPh>
    <rPh sb="4" eb="5">
      <t>セッ</t>
    </rPh>
    <rPh sb="8" eb="9">
      <t>ケイ</t>
    </rPh>
    <rPh sb="12" eb="13">
      <t>ヒ</t>
    </rPh>
    <phoneticPr fontId="14"/>
  </si>
  <si>
    <r>
      <rPr>
        <sz val="12"/>
        <rFont val="游ゴシック"/>
        <family val="3"/>
        <charset val="128"/>
      </rPr>
      <t>運　賃</t>
    </r>
  </si>
  <si>
    <r>
      <rPr>
        <sz val="12"/>
        <rFont val="游ゴシック"/>
        <family val="3"/>
        <charset val="128"/>
      </rPr>
      <t>編集人件費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2">
      <t>ヘンシュウ</t>
    </rPh>
    <rPh sb="2" eb="5">
      <t>ジンケンヒ</t>
    </rPh>
    <rPh sb="7" eb="8">
      <t>テン</t>
    </rPh>
    <phoneticPr fontId="14"/>
  </si>
  <si>
    <r>
      <rPr>
        <sz val="12"/>
        <rFont val="游ゴシック"/>
        <family val="3"/>
        <charset val="128"/>
      </rPr>
      <t>本　扉</t>
    </r>
  </si>
  <si>
    <r>
      <rPr>
        <sz val="12"/>
        <rFont val="游ゴシック"/>
        <family val="3"/>
        <charset val="128"/>
      </rPr>
      <t>宣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伝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費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1">
      <t>セン</t>
    </rPh>
    <rPh sb="2" eb="3">
      <t>デン</t>
    </rPh>
    <rPh sb="4" eb="5">
      <t>ヒ</t>
    </rPh>
    <phoneticPr fontId="14"/>
  </si>
  <si>
    <r>
      <rPr>
        <b/>
        <sz val="28"/>
        <color theme="1"/>
        <rFont val="ＭＳ Ｐゴシック"/>
        <family val="3"/>
        <charset val="128"/>
      </rPr>
      <t>採　　　　　　　　算　　　　　　　　分　　　　　　　　岐　　　　　　　　点</t>
    </r>
    <rPh sb="0" eb="1">
      <t>サイ</t>
    </rPh>
    <rPh sb="9" eb="10">
      <t>サン</t>
    </rPh>
    <rPh sb="18" eb="19">
      <t>ブン</t>
    </rPh>
    <rPh sb="27" eb="28">
      <t>チマタ</t>
    </rPh>
    <rPh sb="36" eb="37">
      <t>テン</t>
    </rPh>
    <phoneticPr fontId="16"/>
  </si>
  <si>
    <r>
      <rPr>
        <b/>
        <sz val="28"/>
        <color theme="1"/>
        <rFont val="ＭＳ Ｐゴシック"/>
        <family val="3"/>
        <charset val="128"/>
      </rPr>
      <t>限　　　　　界　　　　　利　　　　　益　　　　　分　　　　　岐　　　　　点</t>
    </r>
    <rPh sb="0" eb="1">
      <t>キリ</t>
    </rPh>
    <rPh sb="6" eb="7">
      <t>カイ</t>
    </rPh>
    <rPh sb="12" eb="13">
      <t>リ</t>
    </rPh>
    <rPh sb="18" eb="19">
      <t>エキ</t>
    </rPh>
    <rPh sb="24" eb="25">
      <t>ブン</t>
    </rPh>
    <rPh sb="30" eb="31">
      <t>チマタ</t>
    </rPh>
    <rPh sb="36" eb="37">
      <t>テン</t>
    </rPh>
    <phoneticPr fontId="16"/>
  </si>
  <si>
    <r>
      <rPr>
        <sz val="12"/>
        <rFont val="游ゴシック"/>
        <family val="3"/>
        <charset val="128"/>
      </rPr>
      <t>背加工</t>
    </r>
  </si>
  <si>
    <r>
      <rPr>
        <sz val="12"/>
        <rFont val="游ゴシック"/>
        <family val="3"/>
        <charset val="128"/>
      </rPr>
      <t>販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売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費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1">
      <t>ハン</t>
    </rPh>
    <rPh sb="2" eb="3">
      <t>バイ</t>
    </rPh>
    <rPh sb="4" eb="5">
      <t>ヒ</t>
    </rPh>
    <phoneticPr fontId="14"/>
  </si>
  <si>
    <r>
      <rPr>
        <sz val="10"/>
        <rFont val="游ゴシック"/>
        <family val="3"/>
        <charset val="128"/>
      </rPr>
      <t>花切スピン</t>
    </r>
  </si>
  <si>
    <r>
      <rPr>
        <sz val="12"/>
        <rFont val="游ゴシック"/>
        <family val="3"/>
        <charset val="128"/>
      </rPr>
      <t>倉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庫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費</t>
    </r>
    <r>
      <rPr>
        <sz val="12"/>
        <rFont val="Arial"/>
        <family val="2"/>
      </rPr>
      <t xml:space="preserve">  %</t>
    </r>
    <rPh sb="0" eb="1">
      <t>クラ</t>
    </rPh>
    <rPh sb="2" eb="3">
      <t>コ</t>
    </rPh>
    <rPh sb="4" eb="5">
      <t>ヒ</t>
    </rPh>
    <phoneticPr fontId="14"/>
  </si>
  <si>
    <t>予　算　見　積</t>
    <rPh sb="0" eb="1">
      <t>ヨ</t>
    </rPh>
    <rPh sb="2" eb="3">
      <t>サン</t>
    </rPh>
    <rPh sb="4" eb="5">
      <t>ミ</t>
    </rPh>
    <rPh sb="6" eb="7">
      <t>セキ</t>
    </rPh>
    <phoneticPr fontId="16"/>
  </si>
  <si>
    <r>
      <rPr>
        <sz val="20"/>
        <color theme="1"/>
        <rFont val="ＭＳ Ｐゴシック"/>
        <family val="3"/>
        <charset val="128"/>
      </rPr>
      <t>売上率</t>
    </r>
    <rPh sb="0" eb="2">
      <t>ウリアゲ</t>
    </rPh>
    <rPh sb="2" eb="3">
      <t>リツ</t>
    </rPh>
    <phoneticPr fontId="16"/>
  </si>
  <si>
    <r>
      <rPr>
        <sz val="20"/>
        <color theme="1"/>
        <rFont val="ＭＳ Ｐゴシック"/>
        <family val="3"/>
        <charset val="128"/>
      </rPr>
      <t>売上部数</t>
    </r>
    <rPh sb="0" eb="2">
      <t>ウリアゲ</t>
    </rPh>
    <rPh sb="2" eb="4">
      <t>ブスウ</t>
    </rPh>
    <phoneticPr fontId="16"/>
  </si>
  <si>
    <r>
      <rPr>
        <sz val="20"/>
        <color theme="1"/>
        <rFont val="ＭＳ Ｐゴシック"/>
        <family val="3"/>
        <charset val="128"/>
      </rPr>
      <t>売上高</t>
    </r>
    <rPh sb="0" eb="2">
      <t>ウリアゲ</t>
    </rPh>
    <rPh sb="2" eb="3">
      <t>タカ</t>
    </rPh>
    <phoneticPr fontId="16"/>
  </si>
  <si>
    <r>
      <rPr>
        <sz val="12"/>
        <rFont val="游ゴシック"/>
        <family val="3"/>
        <charset val="128"/>
      </rPr>
      <t>割増％</t>
    </r>
  </si>
  <si>
    <t>%</t>
    <phoneticPr fontId="14"/>
  </si>
  <si>
    <r>
      <rPr>
        <b/>
        <sz val="24"/>
        <color theme="1"/>
        <rFont val="游ゴシック"/>
        <family val="3"/>
        <charset val="128"/>
      </rPr>
      <t>間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接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経　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費</t>
    </r>
    <rPh sb="0" eb="1">
      <t>アイダ</t>
    </rPh>
    <rPh sb="4" eb="5">
      <t>セッ</t>
    </rPh>
    <rPh sb="8" eb="9">
      <t>ケイ</t>
    </rPh>
    <rPh sb="12" eb="13">
      <t>ヒ</t>
    </rPh>
    <phoneticPr fontId="14"/>
  </si>
  <si>
    <r>
      <rPr>
        <sz val="20"/>
        <color theme="1"/>
        <rFont val="ＭＳ Ｐゴシック"/>
        <family val="3"/>
        <charset val="128"/>
      </rPr>
      <t>採　算　分　岐　点</t>
    </r>
    <rPh sb="0" eb="1">
      <t>サイ</t>
    </rPh>
    <rPh sb="2" eb="3">
      <t>サン</t>
    </rPh>
    <rPh sb="4" eb="5">
      <t>ブン</t>
    </rPh>
    <rPh sb="6" eb="7">
      <t>チマタ</t>
    </rPh>
    <rPh sb="8" eb="9">
      <t>テン</t>
    </rPh>
    <phoneticPr fontId="16"/>
  </si>
  <si>
    <r>
      <rPr>
        <sz val="20"/>
        <color theme="1"/>
        <rFont val="ＭＳ Ｐゴシック"/>
        <family val="3"/>
        <charset val="128"/>
      </rPr>
      <t>限界利益分岐点</t>
    </r>
    <rPh sb="0" eb="1">
      <t>キリ</t>
    </rPh>
    <rPh sb="1" eb="2">
      <t>カイ</t>
    </rPh>
    <rPh sb="2" eb="3">
      <t>リ</t>
    </rPh>
    <rPh sb="3" eb="4">
      <t>エキ</t>
    </rPh>
    <rPh sb="4" eb="5">
      <t>ブン</t>
    </rPh>
    <rPh sb="5" eb="6">
      <t>チマタ</t>
    </rPh>
    <rPh sb="6" eb="7">
      <t>テン</t>
    </rPh>
    <phoneticPr fontId="16"/>
  </si>
  <si>
    <r>
      <rPr>
        <sz val="12"/>
        <rFont val="游ゴシック"/>
        <family val="3"/>
        <charset val="128"/>
      </rPr>
      <t>計</t>
    </r>
    <rPh sb="0" eb="1">
      <t>ケイ</t>
    </rPh>
    <phoneticPr fontId="14"/>
  </si>
  <si>
    <r>
      <rPr>
        <sz val="12"/>
        <rFont val="游ゴシック"/>
        <family val="3"/>
        <charset val="128"/>
      </rPr>
      <t>間接人件費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0" eb="2">
      <t>カンセツ</t>
    </rPh>
    <rPh sb="2" eb="5">
      <t>ジンケンヒ</t>
    </rPh>
    <phoneticPr fontId="14"/>
  </si>
  <si>
    <r>
      <rPr>
        <sz val="12"/>
        <rFont val="游ゴシック"/>
        <family val="3"/>
        <charset val="128"/>
      </rPr>
      <t>そ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の</t>
    </r>
    <r>
      <rPr>
        <sz val="12"/>
        <rFont val="Arial"/>
        <family val="2"/>
      </rPr>
      <t xml:space="preserve"> </t>
    </r>
    <r>
      <rPr>
        <sz val="12"/>
        <rFont val="游ゴシック"/>
        <family val="3"/>
        <charset val="128"/>
      </rPr>
      <t>他</t>
    </r>
    <r>
      <rPr>
        <sz val="12"/>
        <rFont val="Arial"/>
        <family val="2"/>
      </rPr>
      <t xml:space="preserve"> 1</t>
    </r>
    <r>
      <rPr>
        <sz val="12"/>
        <rFont val="游ゴシック"/>
        <family val="3"/>
        <charset val="128"/>
      </rPr>
      <t>点</t>
    </r>
    <rPh sb="4" eb="5">
      <t>タ</t>
    </rPh>
    <phoneticPr fontId="14"/>
  </si>
  <si>
    <r>
      <rPr>
        <b/>
        <sz val="24"/>
        <rFont val="ＭＳ Ｐゴシック"/>
        <family val="3"/>
        <charset val="128"/>
      </rPr>
      <t>※参考</t>
    </r>
    <rPh sb="1" eb="3">
      <t>サンコウ</t>
    </rPh>
    <phoneticPr fontId="16"/>
  </si>
  <si>
    <r>
      <rPr>
        <b/>
        <sz val="20"/>
        <color theme="1"/>
        <rFont val="ＭＳ Ｐゴシック"/>
        <family val="3"/>
        <charset val="128"/>
      </rPr>
      <t>編集者</t>
    </r>
    <r>
      <rPr>
        <b/>
        <sz val="20"/>
        <color theme="1"/>
        <rFont val="Arial"/>
        <family val="2"/>
      </rPr>
      <t>1</t>
    </r>
    <r>
      <rPr>
        <b/>
        <sz val="20"/>
        <color theme="1"/>
        <rFont val="ＭＳ Ｐゴシック"/>
        <family val="3"/>
        <charset val="128"/>
      </rPr>
      <t>人の必要な年間限界利益</t>
    </r>
    <rPh sb="0" eb="3">
      <t>ヘンシュウシャ</t>
    </rPh>
    <rPh sb="4" eb="5">
      <t>ニン</t>
    </rPh>
    <rPh sb="6" eb="8">
      <t>ヒツヨウ</t>
    </rPh>
    <rPh sb="9" eb="11">
      <t>ネンカン</t>
    </rPh>
    <rPh sb="11" eb="13">
      <t>ゲンカイ</t>
    </rPh>
    <rPh sb="13" eb="15">
      <t>リエキ</t>
    </rPh>
    <phoneticPr fontId="16"/>
  </si>
  <si>
    <r>
      <rPr>
        <b/>
        <sz val="20"/>
        <color theme="1"/>
        <rFont val="ＭＳ Ｐゴシック"/>
        <family val="3"/>
        <charset val="128"/>
      </rPr>
      <t>編集者</t>
    </r>
    <r>
      <rPr>
        <b/>
        <sz val="20"/>
        <color theme="1"/>
        <rFont val="Arial"/>
        <family val="2"/>
      </rPr>
      <t>1</t>
    </r>
    <r>
      <rPr>
        <b/>
        <sz val="20"/>
        <color theme="1"/>
        <rFont val="ＭＳ Ｐゴシック"/>
        <family val="3"/>
        <charset val="128"/>
      </rPr>
      <t>人の必要な</t>
    </r>
    <r>
      <rPr>
        <b/>
        <sz val="20"/>
        <color theme="1"/>
        <rFont val="Arial"/>
        <family val="2"/>
      </rPr>
      <t>1</t>
    </r>
    <r>
      <rPr>
        <b/>
        <sz val="20"/>
        <color theme="1"/>
        <rFont val="ＭＳ Ｐゴシック"/>
        <family val="3"/>
        <charset val="128"/>
      </rPr>
      <t>点あたりの限界利益</t>
    </r>
    <rPh sb="0" eb="3">
      <t>ヘンシュウシャ</t>
    </rPh>
    <rPh sb="4" eb="5">
      <t>ニン</t>
    </rPh>
    <rPh sb="6" eb="8">
      <t>ヒツヨウ</t>
    </rPh>
    <rPh sb="10" eb="11">
      <t>テン</t>
    </rPh>
    <rPh sb="15" eb="17">
      <t>ゲンカイ</t>
    </rPh>
    <rPh sb="17" eb="19">
      <t>リエキ</t>
    </rPh>
    <phoneticPr fontId="16"/>
  </si>
  <si>
    <r>
      <rPr>
        <b/>
        <sz val="20"/>
        <color theme="1"/>
        <rFont val="ＭＳ Ｐゴシック"/>
        <family val="3"/>
        <charset val="128"/>
      </rPr>
      <t>年収</t>
    </r>
    <rPh sb="0" eb="2">
      <t>ネンシュウ</t>
    </rPh>
    <phoneticPr fontId="16"/>
  </si>
  <si>
    <t>×</t>
    <phoneticPr fontId="16"/>
  </si>
  <si>
    <r>
      <rPr>
        <b/>
        <sz val="20"/>
        <rFont val="ＭＳ Ｐゴシック"/>
        <family val="3"/>
        <charset val="128"/>
      </rPr>
      <t>＝</t>
    </r>
    <phoneticPr fontId="16"/>
  </si>
  <si>
    <r>
      <rPr>
        <b/>
        <sz val="16"/>
        <rFont val="ＭＳ Ｐゴシック"/>
        <family val="3"/>
        <charset val="128"/>
      </rPr>
      <t>編集者</t>
    </r>
    <r>
      <rPr>
        <b/>
        <sz val="16"/>
        <rFont val="Arial"/>
        <family val="2"/>
      </rPr>
      <t>1</t>
    </r>
    <r>
      <rPr>
        <b/>
        <sz val="16"/>
        <rFont val="ＭＳ Ｐゴシック"/>
        <family val="3"/>
        <charset val="128"/>
      </rPr>
      <t>名の必要な年間限界利益</t>
    </r>
    <rPh sb="0" eb="3">
      <t>ヘンシュウシャ</t>
    </rPh>
    <rPh sb="4" eb="5">
      <t>メイ</t>
    </rPh>
    <rPh sb="6" eb="8">
      <t>ヒツヨウ</t>
    </rPh>
    <rPh sb="9" eb="11">
      <t>ネンカン</t>
    </rPh>
    <rPh sb="11" eb="13">
      <t>ゲンカイ</t>
    </rPh>
    <rPh sb="13" eb="15">
      <t>リエキ</t>
    </rPh>
    <phoneticPr fontId="16"/>
  </si>
  <si>
    <t>÷</t>
    <phoneticPr fontId="16"/>
  </si>
  <si>
    <r>
      <rPr>
        <b/>
        <sz val="20"/>
        <rFont val="ＭＳ Ｐゴシック"/>
        <family val="3"/>
        <charset val="128"/>
      </rPr>
      <t>年間予定点数</t>
    </r>
    <rPh sb="0" eb="2">
      <t>ネンカン</t>
    </rPh>
    <rPh sb="2" eb="4">
      <t>ヨテイ</t>
    </rPh>
    <rPh sb="4" eb="6">
      <t>テンスウ</t>
    </rPh>
    <phoneticPr fontId="16"/>
  </si>
  <si>
    <t>ヤレ枚</t>
    <rPh sb="2" eb="3">
      <t>マイ</t>
    </rPh>
    <phoneticPr fontId="14"/>
  </si>
  <si>
    <t>斤量</t>
    <rPh sb="0" eb="2">
      <t>キンリョウ</t>
    </rPh>
    <phoneticPr fontId="14"/>
  </si>
  <si>
    <t>改装</t>
    <rPh sb="0" eb="2">
      <t>カイソウ</t>
    </rPh>
    <phoneticPr fontId="14"/>
  </si>
  <si>
    <t>改装カバー</t>
    <rPh sb="0" eb="2">
      <t>カイソウ</t>
    </rPh>
    <phoneticPr fontId="14"/>
  </si>
  <si>
    <t>改装帯</t>
    <rPh sb="0" eb="2">
      <t>カイソウ</t>
    </rPh>
    <rPh sb="2" eb="3">
      <t>オビ</t>
    </rPh>
    <phoneticPr fontId="14"/>
  </si>
  <si>
    <t>扉</t>
    <rPh sb="0" eb="1">
      <t>トビラ</t>
    </rPh>
    <phoneticPr fontId="14"/>
  </si>
  <si>
    <t>扉印刷</t>
    <rPh sb="0" eb="1">
      <t>トビラ</t>
    </rPh>
    <phoneticPr fontId="14"/>
  </si>
  <si>
    <t>扉用紙</t>
    <rPh sb="0" eb="1">
      <t>トビラ</t>
    </rPh>
    <phoneticPr fontId="14"/>
  </si>
  <si>
    <t>見返し</t>
    <rPh sb="0" eb="2">
      <t>ミカエ</t>
    </rPh>
    <phoneticPr fontId="14"/>
  </si>
  <si>
    <t>見返し印刷</t>
    <rPh sb="0" eb="2">
      <t>ミカエ</t>
    </rPh>
    <phoneticPr fontId="14"/>
  </si>
  <si>
    <t>見返し用紙</t>
    <rPh sb="0" eb="2">
      <t>ミカエ</t>
    </rPh>
    <phoneticPr fontId="14"/>
  </si>
  <si>
    <t>カバー作成数</t>
    <rPh sb="3" eb="5">
      <t>サクセイ</t>
    </rPh>
    <rPh sb="5" eb="6">
      <t>スウ</t>
    </rPh>
    <phoneticPr fontId="14"/>
  </si>
  <si>
    <t>帯作成数</t>
    <rPh sb="0" eb="1">
      <t>オビ</t>
    </rPh>
    <rPh sb="1" eb="3">
      <t>サクセイ</t>
    </rPh>
    <rPh sb="3" eb="4">
      <t>スウ</t>
    </rPh>
    <phoneticPr fontId="14"/>
  </si>
  <si>
    <t>制作費</t>
    <rPh sb="0" eb="3">
      <t>セイサクヒ</t>
    </rPh>
    <phoneticPr fontId="16"/>
  </si>
  <si>
    <t>(新刊)</t>
    <rPh sb="1" eb="3">
      <t>シンカン</t>
    </rPh>
    <phoneticPr fontId="14"/>
  </si>
  <si>
    <t>版書名</t>
    <phoneticPr fontId="14"/>
  </si>
  <si>
    <t>(重版)</t>
    <rPh sb="1" eb="3">
      <t>ジュウハン</t>
    </rPh>
    <phoneticPr fontId="14"/>
  </si>
  <si>
    <t>税率</t>
    <rPh sb="0" eb="2">
      <t>ゼイリツ</t>
    </rPh>
    <phoneticPr fontId="14"/>
  </si>
  <si>
    <t>上限部数</t>
    <rPh sb="0" eb="2">
      <t>ジョウゲン</t>
    </rPh>
    <rPh sb="2" eb="4">
      <t>ブスウ</t>
    </rPh>
    <phoneticPr fontId="14"/>
  </si>
  <si>
    <t>金額</t>
    <rPh sb="0" eb="2">
      <t>キンガク</t>
    </rPh>
    <phoneticPr fontId="14"/>
  </si>
  <si>
    <r>
      <rPr>
        <b/>
        <sz val="24"/>
        <color theme="1"/>
        <rFont val="游ゴシック"/>
        <family val="3"/>
        <charset val="128"/>
      </rPr>
      <t>編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集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原　</t>
    </r>
    <r>
      <rPr>
        <b/>
        <sz val="24"/>
        <color theme="1"/>
        <rFont val="Arial"/>
        <family val="2"/>
      </rPr>
      <t xml:space="preserve"> </t>
    </r>
    <r>
      <rPr>
        <b/>
        <sz val="24"/>
        <color theme="1"/>
        <rFont val="游ゴシック"/>
        <family val="3"/>
        <charset val="128"/>
      </rPr>
      <t>価</t>
    </r>
    <r>
      <rPr>
        <b/>
        <sz val="24"/>
        <color theme="1"/>
        <rFont val="Arial"/>
        <family val="2"/>
      </rPr>
      <t>(</t>
    </r>
    <r>
      <rPr>
        <b/>
        <sz val="24"/>
        <color theme="1"/>
        <rFont val="游ゴシック"/>
        <family val="3"/>
        <charset val="128"/>
      </rPr>
      <t>印税</t>
    </r>
    <r>
      <rPr>
        <b/>
        <sz val="24"/>
        <color theme="1"/>
        <rFont val="Arial"/>
        <family val="2"/>
      </rPr>
      <t>)</t>
    </r>
    <rPh sb="6" eb="7">
      <t>ハラ</t>
    </rPh>
    <rPh sb="9" eb="10">
      <t>アタイ</t>
    </rPh>
    <rPh sb="11" eb="13">
      <t>インゼイ</t>
    </rPh>
    <phoneticPr fontId="14"/>
  </si>
  <si>
    <t>印　税合計</t>
    <rPh sb="0" eb="1">
      <t>イン</t>
    </rPh>
    <rPh sb="2" eb="3">
      <t>ゼイ</t>
    </rPh>
    <rPh sb="3" eb="5">
      <t>ゴウケイ</t>
    </rPh>
    <phoneticPr fontId="14"/>
  </si>
  <si>
    <t>PP</t>
    <phoneticPr fontId="14"/>
  </si>
  <si>
    <t>組版</t>
  </si>
  <si>
    <t>貼込</t>
  </si>
  <si>
    <t>写真別撮</t>
  </si>
  <si>
    <t>凸版別撮</t>
  </si>
  <si>
    <t>背丁入れ</t>
  </si>
  <si>
    <t>ゲラ代</t>
  </si>
  <si>
    <t>組替代</t>
  </si>
  <si>
    <t>本文組版代の</t>
  </si>
  <si>
    <t>われらみな、星の子どもたち</t>
    <phoneticPr fontId="16"/>
  </si>
  <si>
    <t>白色光の影を浚う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</si>
</sst>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#,##0.0;[Red]\-#,##0.0"/>
    <numFmt numFmtId="177" formatCode="#,##0.000;[Red]\-#,##0.000"/>
    <numFmt numFmtId="178" formatCode="&quot;@&quot;#,##0;&quot;@▲&quot;#,##0"/>
    <numFmt numFmtId="179" formatCode="0.0%"/>
    <numFmt numFmtId="180" formatCode="0%;&quot;▲&quot;0%"/>
    <numFmt numFmtId="181" formatCode="&quot;@&quot;#,##0.00;&quot;@▲&quot;#,##0.00"/>
    <numFmt numFmtId="182" formatCode="#,##0_);\(#,##0\)"/>
    <numFmt numFmtId="183" formatCode="#,##0;&quot;▲ &quot;#,##0"/>
    <numFmt numFmtId="184" formatCode="#,##0.0_ ;[Red]\-#,##0.0\ "/>
    <numFmt numFmtId="185" formatCode="0.0_);[Red]\(0.0\)"/>
  </numFmts>
  <fonts count="59">
    <font>
      <sz val="11"/>
      <name val="明朝"/>
      <family val="1"/>
      <charset val="128"/>
    </font>
    <font>
      <sz val="11"/>
      <name val="明朝"/>
      <family val="1"/>
      <charset val="128"/>
    </font>
    <font>
      <sz val="16"/>
      <name val="標準ゴシック"/>
      <family val="3"/>
      <charset val="128"/>
    </font>
    <font>
      <b/>
      <sz val="16"/>
      <name val="標準ゴシック"/>
      <family val="3"/>
      <charset val="128"/>
    </font>
    <font>
      <b/>
      <sz val="18"/>
      <name val="標準ゴシック"/>
      <family val="3"/>
      <charset val="128"/>
    </font>
    <font>
      <sz val="11"/>
      <name val="標準ゴシック"/>
      <family val="3"/>
      <charset val="128"/>
    </font>
    <font>
      <sz val="12"/>
      <name val="標準ゴシック"/>
      <family val="3"/>
      <charset val="128"/>
    </font>
    <font>
      <sz val="24"/>
      <name val="標準ゴシック"/>
      <family val="3"/>
      <charset val="128"/>
    </font>
    <font>
      <b/>
      <sz val="24"/>
      <color indexed="9"/>
      <name val="標準ゴシック"/>
      <family val="3"/>
      <charset val="128"/>
    </font>
    <font>
      <b/>
      <sz val="28"/>
      <name val="標準ゴシック"/>
      <family val="3"/>
      <charset val="128"/>
    </font>
    <font>
      <sz val="18"/>
      <name val="標準ゴシック"/>
      <family val="3"/>
      <charset val="128"/>
    </font>
    <font>
      <sz val="14"/>
      <name val="標準ゴシック"/>
      <family val="3"/>
      <charset val="128"/>
    </font>
    <font>
      <sz val="10"/>
      <name val="標準ゴシック"/>
      <family val="3"/>
      <charset val="128"/>
    </font>
    <font>
      <sz val="16"/>
      <name val="標準ゴシック"/>
      <family val="3"/>
      <charset val="128"/>
    </font>
    <font>
      <sz val="6"/>
      <name val="ＭＳ Ｐ明朝"/>
      <family val="1"/>
      <charset val="128"/>
    </font>
    <font>
      <u/>
      <sz val="11"/>
      <name val="Arial"/>
      <family val="2"/>
    </font>
    <font>
      <sz val="6"/>
      <name val="明朝"/>
      <family val="1"/>
      <charset val="128"/>
    </font>
    <font>
      <b/>
      <sz val="18"/>
      <name val="Arial"/>
      <family val="2"/>
    </font>
    <font>
      <b/>
      <sz val="18"/>
      <name val="游ゴシック"/>
      <family val="3"/>
      <charset val="128"/>
    </font>
    <font>
      <b/>
      <sz val="24"/>
      <name val="Arial"/>
      <family val="2"/>
    </font>
    <font>
      <sz val="24"/>
      <name val="Arial"/>
      <family val="2"/>
    </font>
    <font>
      <sz val="20"/>
      <name val="Arial"/>
      <family val="2"/>
    </font>
    <font>
      <sz val="11"/>
      <name val="Arial"/>
      <family val="2"/>
    </font>
    <font>
      <b/>
      <sz val="18"/>
      <name val="ＭＳ Ｐゴシック"/>
      <family val="3"/>
      <charset val="128"/>
    </font>
    <font>
      <b/>
      <sz val="17"/>
      <name val="Arial"/>
      <family val="2"/>
    </font>
    <font>
      <b/>
      <sz val="17"/>
      <name val="ＭＳ Ｐゴシック"/>
      <family val="3"/>
      <charset val="128"/>
    </font>
    <font>
      <b/>
      <sz val="17"/>
      <name val="游ゴシック"/>
      <family val="3"/>
      <charset val="128"/>
    </font>
    <font>
      <sz val="20"/>
      <name val="游ゴシック"/>
      <family val="3"/>
      <charset val="128"/>
    </font>
    <font>
      <b/>
      <sz val="20"/>
      <name val="Arial"/>
      <family val="2"/>
    </font>
    <font>
      <b/>
      <sz val="20"/>
      <name val="游ゴシック"/>
      <family val="3"/>
      <charset val="128"/>
    </font>
    <font>
      <b/>
      <sz val="20"/>
      <color indexed="8"/>
      <name val="Arial"/>
      <family val="2"/>
    </font>
    <font>
      <b/>
      <sz val="20"/>
      <color indexed="8"/>
      <name val="游ゴシック"/>
      <family val="3"/>
      <charset val="128"/>
    </font>
    <font>
      <b/>
      <sz val="24"/>
      <color theme="1"/>
      <name val="Arial"/>
      <family val="2"/>
    </font>
    <font>
      <b/>
      <sz val="24"/>
      <color theme="1"/>
      <name val="游ゴシック"/>
      <family val="3"/>
      <charset val="128"/>
    </font>
    <font>
      <sz val="11"/>
      <color theme="1"/>
      <name val="Arial"/>
      <family val="2"/>
    </font>
    <font>
      <b/>
      <sz val="28"/>
      <color theme="1"/>
      <name val="Arial"/>
      <family val="2"/>
    </font>
    <font>
      <sz val="12"/>
      <name val="游ゴシック"/>
      <family val="3"/>
      <charset val="128"/>
    </font>
    <font>
      <sz val="12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0"/>
      <name val="游ゴシック"/>
      <family val="3"/>
      <charset val="128"/>
    </font>
    <font>
      <b/>
      <sz val="16"/>
      <name val="Arial"/>
      <family val="2"/>
    </font>
    <font>
      <b/>
      <sz val="28"/>
      <color theme="1"/>
      <name val="ＭＳ Ｐゴシック"/>
      <family val="3"/>
      <charset val="128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20"/>
      <color theme="1"/>
      <name val="Arial"/>
      <family val="2"/>
    </font>
    <font>
      <b/>
      <sz val="24"/>
      <name val="ＭＳ Ｐゴシック"/>
      <family val="3"/>
      <charset val="128"/>
    </font>
    <font>
      <b/>
      <sz val="20"/>
      <color theme="1"/>
      <name val="Arial"/>
      <family val="2"/>
    </font>
    <font>
      <b/>
      <sz val="20"/>
      <color theme="1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i/>
      <sz val="2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游ゴシック"/>
      <family val="3"/>
      <charset val="128"/>
    </font>
    <font>
      <b/>
      <sz val="16"/>
      <name val="游ゴシック"/>
      <family val="3"/>
      <charset val="128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gray0625"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auto="1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9"/>
      </right>
      <top style="thick">
        <color indexed="64"/>
      </top>
      <bottom style="thick">
        <color indexed="64"/>
      </bottom>
      <diagonal/>
    </border>
    <border>
      <left style="thick">
        <color indexed="9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tted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tted">
        <color indexed="64"/>
      </right>
      <top/>
      <bottom style="thick">
        <color indexed="64"/>
      </bottom>
      <diagonal/>
    </border>
    <border>
      <left style="dotted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ck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auto="1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/>
      <bottom style="dotted">
        <color indexed="64"/>
      </bottom>
      <diagonal/>
    </border>
    <border>
      <left/>
      <right style="thick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</cellStyleXfs>
  <cellXfs count="520">
    <xf numFmtId="0" fontId="0" fillId="0" borderId="0" xfId="0"/>
    <xf numFmtId="0" fontId="0" fillId="0" borderId="0" xfId="0" applyAlignment="1">
      <alignment vertical="center"/>
    </xf>
    <xf numFmtId="38" fontId="2" fillId="2" borderId="1" xfId="1" applyFont="1" applyFill="1" applyBorder="1" applyAlignment="1">
      <alignment vertical="center"/>
    </xf>
    <xf numFmtId="38" fontId="2" fillId="2" borderId="2" xfId="1" applyFont="1" applyFill="1" applyBorder="1" applyAlignment="1">
      <alignment vertical="center"/>
    </xf>
    <xf numFmtId="38" fontId="2" fillId="2" borderId="3" xfId="1" applyFont="1" applyFill="1" applyBorder="1" applyAlignment="1">
      <alignment vertical="center"/>
    </xf>
    <xf numFmtId="38" fontId="2" fillId="2" borderId="4" xfId="1" applyFont="1" applyFill="1" applyBorder="1" applyAlignment="1">
      <alignment vertical="center"/>
    </xf>
    <xf numFmtId="38" fontId="2" fillId="2" borderId="1" xfId="1" applyFont="1" applyFill="1" applyBorder="1" applyAlignment="1">
      <alignment horizontal="center" vertical="center"/>
    </xf>
    <xf numFmtId="38" fontId="2" fillId="2" borderId="3" xfId="1" applyFont="1" applyFill="1" applyBorder="1" applyAlignment="1">
      <alignment horizontal="center" vertical="center"/>
    </xf>
    <xf numFmtId="38" fontId="2" fillId="2" borderId="5" xfId="0" applyNumberFormat="1" applyFont="1" applyFill="1" applyBorder="1" applyAlignment="1">
      <alignment vertical="center"/>
    </xf>
    <xf numFmtId="38" fontId="2" fillId="2" borderId="6" xfId="1" applyFont="1" applyFill="1" applyBorder="1" applyAlignment="1">
      <alignment vertical="center"/>
    </xf>
    <xf numFmtId="38" fontId="2" fillId="2" borderId="5" xfId="1" applyFont="1" applyFill="1" applyBorder="1" applyAlignment="1">
      <alignment vertical="center"/>
    </xf>
    <xf numFmtId="38" fontId="2" fillId="2" borderId="7" xfId="1" applyFont="1" applyFill="1" applyBorder="1" applyAlignment="1">
      <alignment vertical="center"/>
    </xf>
    <xf numFmtId="38" fontId="2" fillId="2" borderId="3" xfId="1" applyFont="1" applyFill="1" applyBorder="1" applyAlignment="1">
      <alignment horizontal="right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38" fontId="2" fillId="2" borderId="3" xfId="1" applyFont="1" applyFill="1" applyBorder="1" applyAlignment="1" applyProtection="1">
      <alignment horizontal="center" vertical="center"/>
      <protection locked="0"/>
    </xf>
    <xf numFmtId="40" fontId="2" fillId="2" borderId="3" xfId="1" applyNumberFormat="1" applyFont="1" applyFill="1" applyBorder="1" applyAlignment="1">
      <alignment vertical="center"/>
    </xf>
    <xf numFmtId="38" fontId="2" fillId="2" borderId="4" xfId="1" applyFont="1" applyFill="1" applyBorder="1" applyAlignment="1" applyProtection="1">
      <alignment vertical="center"/>
      <protection locked="0"/>
    </xf>
    <xf numFmtId="38" fontId="2" fillId="2" borderId="3" xfId="1" applyFont="1" applyFill="1" applyBorder="1" applyAlignment="1" applyProtection="1">
      <alignment vertical="center"/>
      <protection locked="0"/>
    </xf>
    <xf numFmtId="38" fontId="2" fillId="2" borderId="1" xfId="1" applyFont="1" applyFill="1" applyBorder="1" applyAlignment="1" applyProtection="1">
      <alignment horizontal="center" vertical="center"/>
      <protection locked="0"/>
    </xf>
    <xf numFmtId="38" fontId="2" fillId="2" borderId="1" xfId="1" applyFont="1" applyFill="1" applyBorder="1" applyAlignment="1" applyProtection="1">
      <alignment vertical="center"/>
      <protection locked="0"/>
    </xf>
    <xf numFmtId="40" fontId="2" fillId="2" borderId="1" xfId="1" applyNumberFormat="1" applyFont="1" applyFill="1" applyBorder="1" applyAlignment="1">
      <alignment vertical="center"/>
    </xf>
    <xf numFmtId="38" fontId="2" fillId="2" borderId="3" xfId="1" applyFont="1" applyFill="1" applyBorder="1" applyAlignment="1">
      <alignment horizontal="centerContinuous" vertical="center"/>
    </xf>
    <xf numFmtId="38" fontId="2" fillId="2" borderId="1" xfId="1" applyFont="1" applyFill="1" applyBorder="1" applyAlignment="1">
      <alignment horizontal="centerContinuous" vertical="center"/>
    </xf>
    <xf numFmtId="38" fontId="2" fillId="2" borderId="8" xfId="1" applyFont="1" applyFill="1" applyBorder="1" applyAlignment="1">
      <alignment horizontal="right" vertical="center"/>
    </xf>
    <xf numFmtId="38" fontId="3" fillId="2" borderId="8" xfId="1" applyFont="1" applyFill="1" applyBorder="1" applyAlignment="1" applyProtection="1">
      <alignment horizontal="right" vertical="center"/>
      <protection locked="0"/>
    </xf>
    <xf numFmtId="38" fontId="2" fillId="2" borderId="8" xfId="1" applyFont="1" applyFill="1" applyBorder="1" applyAlignment="1">
      <alignment vertical="center"/>
    </xf>
    <xf numFmtId="38" fontId="2" fillId="2" borderId="9" xfId="1" applyFont="1" applyFill="1" applyBorder="1" applyAlignment="1">
      <alignment vertical="center"/>
    </xf>
    <xf numFmtId="176" fontId="2" fillId="2" borderId="3" xfId="1" applyNumberFormat="1" applyFont="1" applyFill="1" applyBorder="1" applyAlignment="1" applyProtection="1">
      <alignment vertical="center"/>
      <protection locked="0"/>
    </xf>
    <xf numFmtId="40" fontId="2" fillId="2" borderId="3" xfId="1" applyNumberFormat="1" applyFont="1" applyFill="1" applyBorder="1" applyAlignment="1" applyProtection="1">
      <alignment horizontal="right" vertical="center"/>
      <protection locked="0"/>
    </xf>
    <xf numFmtId="40" fontId="2" fillId="2" borderId="3" xfId="1" applyNumberFormat="1" applyFont="1" applyFill="1" applyBorder="1" applyAlignment="1" applyProtection="1">
      <alignment vertical="center"/>
      <protection locked="0"/>
    </xf>
    <xf numFmtId="176" fontId="2" fillId="2" borderId="1" xfId="1" applyNumberFormat="1" applyFont="1" applyFill="1" applyBorder="1" applyAlignment="1" applyProtection="1">
      <alignment vertical="center"/>
      <protection locked="0"/>
    </xf>
    <xf numFmtId="38" fontId="2" fillId="2" borderId="3" xfId="1" applyFont="1" applyFill="1" applyBorder="1" applyAlignment="1" applyProtection="1">
      <alignment horizontal="right" vertical="center"/>
      <protection locked="0"/>
    </xf>
    <xf numFmtId="38" fontId="2" fillId="2" borderId="12" xfId="1" applyFont="1" applyFill="1" applyBorder="1" applyAlignment="1" applyProtection="1">
      <alignment vertical="center"/>
      <protection locked="0"/>
    </xf>
    <xf numFmtId="38" fontId="2" fillId="2" borderId="12" xfId="1" applyFont="1" applyFill="1" applyBorder="1" applyAlignment="1" applyProtection="1">
      <alignment horizontal="right" vertical="center"/>
      <protection locked="0"/>
    </xf>
    <xf numFmtId="38" fontId="2" fillId="2" borderId="3" xfId="1" applyFont="1" applyFill="1" applyBorder="1" applyAlignment="1" applyProtection="1">
      <alignment horizontal="centerContinuous" vertical="center"/>
      <protection locked="0"/>
    </xf>
    <xf numFmtId="38" fontId="2" fillId="2" borderId="1" xfId="1" applyFont="1" applyFill="1" applyBorder="1" applyAlignment="1" applyProtection="1">
      <alignment horizontal="centerContinuous" vertical="center"/>
      <protection locked="0"/>
    </xf>
    <xf numFmtId="38" fontId="2" fillId="2" borderId="8" xfId="1" applyFont="1" applyFill="1" applyBorder="1" applyAlignment="1" applyProtection="1">
      <alignment horizontal="center" vertical="center"/>
      <protection locked="0"/>
    </xf>
    <xf numFmtId="40" fontId="2" fillId="2" borderId="8" xfId="1" applyNumberFormat="1" applyFont="1" applyFill="1" applyBorder="1" applyAlignment="1" applyProtection="1">
      <alignment vertical="center"/>
      <protection locked="0"/>
    </xf>
    <xf numFmtId="38" fontId="2" fillId="2" borderId="8" xfId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>
      <alignment horizontal="center" vertical="center"/>
    </xf>
    <xf numFmtId="38" fontId="2" fillId="2" borderId="4" xfId="1" applyFont="1" applyFill="1" applyBorder="1" applyAlignment="1" applyProtection="1">
      <alignment vertical="center"/>
    </xf>
    <xf numFmtId="38" fontId="2" fillId="2" borderId="5" xfId="1" applyFont="1" applyFill="1" applyBorder="1" applyAlignment="1" applyProtection="1">
      <alignment vertical="center"/>
    </xf>
    <xf numFmtId="38" fontId="2" fillId="2" borderId="3" xfId="1" applyFont="1" applyFill="1" applyBorder="1" applyAlignment="1" applyProtection="1">
      <alignment horizontal="center" vertical="center"/>
    </xf>
    <xf numFmtId="40" fontId="2" fillId="2" borderId="3" xfId="1" applyNumberFormat="1" applyFont="1" applyFill="1" applyBorder="1" applyAlignment="1" applyProtection="1">
      <alignment vertical="center"/>
    </xf>
    <xf numFmtId="38" fontId="2" fillId="2" borderId="3" xfId="1" applyFont="1" applyFill="1" applyBorder="1" applyAlignment="1" applyProtection="1">
      <alignment vertical="center"/>
    </xf>
    <xf numFmtId="176" fontId="2" fillId="2" borderId="3" xfId="1" applyNumberFormat="1" applyFont="1" applyFill="1" applyBorder="1" applyAlignment="1" applyProtection="1">
      <alignment vertical="center"/>
    </xf>
    <xf numFmtId="38" fontId="2" fillId="2" borderId="1" xfId="1" applyFont="1" applyFill="1" applyBorder="1" applyAlignment="1" applyProtection="1">
      <alignment vertical="center"/>
    </xf>
    <xf numFmtId="38" fontId="2" fillId="2" borderId="6" xfId="1" applyFont="1" applyFill="1" applyBorder="1" applyAlignment="1" applyProtection="1">
      <alignment vertical="center"/>
    </xf>
    <xf numFmtId="0" fontId="8" fillId="3" borderId="16" xfId="0" applyFont="1" applyFill="1" applyBorder="1" applyAlignment="1">
      <alignment horizontal="centerContinuous" vertical="center"/>
    </xf>
    <xf numFmtId="0" fontId="5" fillId="3" borderId="17" xfId="0" applyFont="1" applyFill="1" applyBorder="1" applyAlignment="1">
      <alignment horizontal="centerContinuous"/>
    </xf>
    <xf numFmtId="0" fontId="5" fillId="3" borderId="18" xfId="0" applyFont="1" applyFill="1" applyBorder="1" applyAlignment="1">
      <alignment horizontal="centerContinuous"/>
    </xf>
    <xf numFmtId="0" fontId="8" fillId="3" borderId="19" xfId="0" applyFont="1" applyFill="1" applyBorder="1" applyAlignment="1">
      <alignment horizontal="centerContinuous" vertical="center"/>
    </xf>
    <xf numFmtId="0" fontId="9" fillId="3" borderId="17" xfId="0" applyFont="1" applyFill="1" applyBorder="1" applyAlignment="1">
      <alignment horizontal="centerContinuous" vertical="center"/>
    </xf>
    <xf numFmtId="0" fontId="5" fillId="3" borderId="20" xfId="0" applyFont="1" applyFill="1" applyBorder="1" applyAlignment="1">
      <alignment horizontal="centerContinuous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Continuous" vertical="center"/>
    </xf>
    <xf numFmtId="0" fontId="10" fillId="4" borderId="23" xfId="0" applyFont="1" applyFill="1" applyBorder="1" applyAlignment="1">
      <alignment horizontal="distributed" vertical="center"/>
    </xf>
    <xf numFmtId="0" fontId="10" fillId="4" borderId="23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distributed" vertical="center"/>
    </xf>
    <xf numFmtId="0" fontId="10" fillId="4" borderId="24" xfId="0" applyFont="1" applyFill="1" applyBorder="1" applyAlignment="1">
      <alignment horizontal="distributed" vertical="center"/>
    </xf>
    <xf numFmtId="0" fontId="10" fillId="4" borderId="25" xfId="0" applyFont="1" applyFill="1" applyBorder="1" applyAlignment="1">
      <alignment horizontal="distributed" vertical="center"/>
    </xf>
    <xf numFmtId="0" fontId="6" fillId="2" borderId="26" xfId="0" applyFont="1" applyFill="1" applyBorder="1" applyAlignment="1">
      <alignment horizontal="center"/>
    </xf>
    <xf numFmtId="0" fontId="6" fillId="2" borderId="27" xfId="0" applyFont="1" applyFill="1" applyBorder="1" applyAlignment="1">
      <alignment horizontal="distributed" vertical="center"/>
    </xf>
    <xf numFmtId="0" fontId="2" fillId="2" borderId="3" xfId="0" applyFont="1" applyFill="1" applyBorder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6" fillId="2" borderId="28" xfId="0" applyFont="1" applyFill="1" applyBorder="1" applyAlignment="1">
      <alignment horizontal="distributed" vertical="center"/>
    </xf>
    <xf numFmtId="0" fontId="6" fillId="2" borderId="29" xfId="0" applyFont="1" applyFill="1" applyBorder="1" applyAlignment="1">
      <alignment horizontal="distributed" vertical="center"/>
    </xf>
    <xf numFmtId="0" fontId="6" fillId="2" borderId="3" xfId="0" applyFont="1" applyFill="1" applyBorder="1" applyAlignment="1" applyProtection="1">
      <alignment horizontal="center"/>
      <protection locked="0"/>
    </xf>
    <xf numFmtId="0" fontId="6" fillId="2" borderId="30" xfId="0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/>
      <protection locked="0"/>
    </xf>
    <xf numFmtId="0" fontId="5" fillId="2" borderId="29" xfId="0" applyFont="1" applyFill="1" applyBorder="1" applyAlignment="1">
      <alignment horizontal="left" vertical="center"/>
    </xf>
    <xf numFmtId="0" fontId="6" fillId="2" borderId="3" xfId="0" applyFont="1" applyFill="1" applyBorder="1" applyAlignment="1" applyProtection="1">
      <alignment horizontal="centerContinuous"/>
      <protection locked="0"/>
    </xf>
    <xf numFmtId="0" fontId="10" fillId="2" borderId="30" xfId="0" applyFont="1" applyFill="1" applyBorder="1" applyAlignment="1">
      <alignment horizontal="center"/>
    </xf>
    <xf numFmtId="0" fontId="6" fillId="2" borderId="29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right" vertical="center"/>
    </xf>
    <xf numFmtId="0" fontId="6" fillId="2" borderId="28" xfId="0" applyFont="1" applyFill="1" applyBorder="1" applyAlignment="1" applyProtection="1">
      <alignment horizontal="center" vertical="center"/>
      <protection locked="0"/>
    </xf>
    <xf numFmtId="0" fontId="5" fillId="2" borderId="31" xfId="0" applyFont="1" applyFill="1" applyBorder="1" applyAlignment="1" applyProtection="1">
      <alignment horizontal="left" vertical="center"/>
      <protection locked="0"/>
    </xf>
    <xf numFmtId="0" fontId="6" fillId="2" borderId="29" xfId="0" applyFont="1" applyFill="1" applyBorder="1" applyAlignment="1" applyProtection="1">
      <alignment horizontal="center" vertical="center"/>
      <protection locked="0"/>
    </xf>
    <xf numFmtId="0" fontId="6" fillId="2" borderId="27" xfId="0" applyFont="1" applyFill="1" applyBorder="1" applyAlignment="1">
      <alignment horizontal="distributed" vertical="center" wrapText="1"/>
    </xf>
    <xf numFmtId="0" fontId="10" fillId="2" borderId="30" xfId="0" applyFont="1" applyFill="1" applyBorder="1" applyAlignment="1" applyProtection="1">
      <alignment horizontal="center"/>
      <protection locked="0"/>
    </xf>
    <xf numFmtId="0" fontId="10" fillId="2" borderId="30" xfId="0" applyFont="1" applyFill="1" applyBorder="1" applyAlignment="1">
      <alignment horizontal="centerContinuous"/>
    </xf>
    <xf numFmtId="0" fontId="10" fillId="2" borderId="32" xfId="0" applyFont="1" applyFill="1" applyBorder="1" applyAlignment="1" applyProtection="1">
      <alignment horizontal="center"/>
      <protection locked="0"/>
    </xf>
    <xf numFmtId="0" fontId="6" fillId="2" borderId="33" xfId="0" applyFont="1" applyFill="1" applyBorder="1" applyAlignment="1">
      <alignment horizontal="center"/>
    </xf>
    <xf numFmtId="0" fontId="11" fillId="2" borderId="34" xfId="0" applyFont="1" applyFill="1" applyBorder="1" applyAlignment="1">
      <alignment horizontal="center"/>
    </xf>
    <xf numFmtId="0" fontId="11" fillId="2" borderId="34" xfId="0" applyFont="1" applyFill="1" applyBorder="1"/>
    <xf numFmtId="38" fontId="4" fillId="2" borderId="34" xfId="1" applyFont="1" applyFill="1" applyBorder="1" applyAlignment="1">
      <alignment horizontal="right" vertical="center"/>
    </xf>
    <xf numFmtId="0" fontId="6" fillId="2" borderId="34" xfId="0" applyFont="1" applyFill="1" applyBorder="1" applyAlignment="1" applyProtection="1">
      <alignment horizontal="center" vertical="center"/>
      <protection locked="0"/>
    </xf>
    <xf numFmtId="0" fontId="11" fillId="2" borderId="34" xfId="0" applyFont="1" applyFill="1" applyBorder="1" applyAlignment="1" applyProtection="1">
      <alignment horizontal="center"/>
      <protection locked="0"/>
    </xf>
    <xf numFmtId="38" fontId="11" fillId="2" borderId="34" xfId="1" applyFont="1" applyFill="1" applyBorder="1"/>
    <xf numFmtId="0" fontId="6" fillId="2" borderId="35" xfId="0" applyFont="1" applyFill="1" applyBorder="1" applyAlignment="1" applyProtection="1">
      <alignment horizontal="center"/>
      <protection locked="0"/>
    </xf>
    <xf numFmtId="0" fontId="6" fillId="2" borderId="34" xfId="0" applyFont="1" applyFill="1" applyBorder="1" applyAlignment="1" applyProtection="1">
      <alignment horizontal="center"/>
      <protection locked="0"/>
    </xf>
    <xf numFmtId="0" fontId="5" fillId="2" borderId="34" xfId="0" applyFont="1" applyFill="1" applyBorder="1" applyProtection="1">
      <protection locked="0"/>
    </xf>
    <xf numFmtId="0" fontId="11" fillId="2" borderId="34" xfId="0" applyFont="1" applyFill="1" applyBorder="1" applyProtection="1">
      <protection locked="0"/>
    </xf>
    <xf numFmtId="0" fontId="4" fillId="2" borderId="34" xfId="0" applyFont="1" applyFill="1" applyBorder="1" applyAlignment="1">
      <alignment horizontal="right" vertical="center"/>
    </xf>
    <xf numFmtId="0" fontId="10" fillId="2" borderId="36" xfId="0" applyFont="1" applyFill="1" applyBorder="1" applyAlignment="1">
      <alignment vertical="center"/>
    </xf>
    <xf numFmtId="0" fontId="6" fillId="2" borderId="37" xfId="0" applyFont="1" applyFill="1" applyBorder="1" applyAlignment="1">
      <alignment horizontal="distributed" vertical="center"/>
    </xf>
    <xf numFmtId="0" fontId="6" fillId="2" borderId="38" xfId="0" applyFont="1" applyFill="1" applyBorder="1" applyAlignment="1">
      <alignment horizontal="distributed" vertical="center"/>
    </xf>
    <xf numFmtId="0" fontId="6" fillId="2" borderId="39" xfId="0" applyFont="1" applyFill="1" applyBorder="1" applyAlignment="1">
      <alignment horizontal="distributed" vertical="center"/>
    </xf>
    <xf numFmtId="0" fontId="6" fillId="2" borderId="1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5" fillId="2" borderId="31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centerContinuous"/>
    </xf>
    <xf numFmtId="0" fontId="5" fillId="2" borderId="28" xfId="0" applyFont="1" applyFill="1" applyBorder="1" applyAlignment="1" applyProtection="1">
      <alignment horizontal="right"/>
      <protection locked="0"/>
    </xf>
    <xf numFmtId="0" fontId="5" fillId="2" borderId="29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38" fontId="11" fillId="2" borderId="0" xfId="1" applyFont="1" applyFill="1" applyBorder="1" applyAlignment="1">
      <alignment horizontal="center"/>
    </xf>
    <xf numFmtId="38" fontId="11" fillId="2" borderId="0" xfId="1" applyFont="1" applyFill="1" applyBorder="1" applyAlignment="1">
      <alignment horizontal="centerContinuous"/>
    </xf>
    <xf numFmtId="38" fontId="11" fillId="2" borderId="0" xfId="1" applyFont="1" applyFill="1" applyBorder="1" applyProtection="1">
      <protection locked="0"/>
    </xf>
    <xf numFmtId="38" fontId="4" fillId="2" borderId="0" xfId="1" applyFont="1" applyFill="1" applyBorder="1" applyAlignment="1">
      <alignment horizontal="right" vertical="center"/>
    </xf>
    <xf numFmtId="0" fontId="5" fillId="2" borderId="0" xfId="0" applyFont="1" applyFill="1" applyAlignment="1">
      <alignment horizontal="right"/>
    </xf>
    <xf numFmtId="0" fontId="12" fillId="2" borderId="0" xfId="0" applyFont="1" applyFill="1" applyAlignment="1">
      <alignment horizontal="centerContinuous"/>
    </xf>
    <xf numFmtId="38" fontId="12" fillId="2" borderId="0" xfId="1" applyFont="1" applyFill="1" applyBorder="1"/>
    <xf numFmtId="0" fontId="12" fillId="2" borderId="0" xfId="0" applyFont="1" applyFill="1"/>
    <xf numFmtId="0" fontId="5" fillId="2" borderId="42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/>
    <xf numFmtId="38" fontId="12" fillId="2" borderId="0" xfId="1" applyFont="1" applyFill="1" applyBorder="1" applyProtection="1"/>
    <xf numFmtId="0" fontId="4" fillId="2" borderId="0" xfId="0" applyFont="1" applyFill="1" applyAlignment="1">
      <alignment horizontal="right" vertical="center"/>
    </xf>
    <xf numFmtId="0" fontId="5" fillId="2" borderId="1" xfId="0" applyFont="1" applyFill="1" applyBorder="1" applyAlignment="1">
      <alignment horizontal="center"/>
    </xf>
    <xf numFmtId="0" fontId="10" fillId="2" borderId="36" xfId="0" applyFont="1" applyFill="1" applyBorder="1" applyAlignment="1">
      <alignment horizontal="center"/>
    </xf>
    <xf numFmtId="0" fontId="10" fillId="2" borderId="30" xfId="0" applyFont="1" applyFill="1" applyBorder="1" applyAlignment="1" applyProtection="1">
      <alignment horizontal="centerContinuous"/>
      <protection locked="0"/>
    </xf>
    <xf numFmtId="0" fontId="5" fillId="2" borderId="29" xfId="0" applyFont="1" applyFill="1" applyBorder="1" applyAlignment="1">
      <alignment horizontal="centerContinuous" vertical="center"/>
    </xf>
    <xf numFmtId="0" fontId="6" fillId="2" borderId="45" xfId="0" applyFont="1" applyFill="1" applyBorder="1" applyAlignment="1">
      <alignment horizontal="left" vertical="center"/>
    </xf>
    <xf numFmtId="38" fontId="2" fillId="2" borderId="46" xfId="1" applyFont="1" applyFill="1" applyBorder="1" applyAlignment="1">
      <alignment horizontal="left"/>
    </xf>
    <xf numFmtId="38" fontId="6" fillId="2" borderId="47" xfId="1" applyFont="1" applyFill="1" applyBorder="1" applyAlignment="1" applyProtection="1">
      <alignment horizontal="distributed" vertical="center"/>
      <protection locked="0"/>
    </xf>
    <xf numFmtId="38" fontId="2" fillId="2" borderId="9" xfId="1" applyFont="1" applyFill="1" applyBorder="1"/>
    <xf numFmtId="0" fontId="6" fillId="2" borderId="48" xfId="0" applyFont="1" applyFill="1" applyBorder="1" applyAlignment="1">
      <alignment horizontal="distributed" vertical="center"/>
    </xf>
    <xf numFmtId="0" fontId="5" fillId="2" borderId="49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/>
    </xf>
    <xf numFmtId="38" fontId="2" fillId="2" borderId="8" xfId="1" applyFont="1" applyFill="1" applyBorder="1" applyAlignment="1" applyProtection="1">
      <alignment vertical="center"/>
    </xf>
    <xf numFmtId="176" fontId="2" fillId="2" borderId="8" xfId="1" applyNumberFormat="1" applyFont="1" applyFill="1" applyBorder="1" applyAlignment="1" applyProtection="1">
      <alignment vertical="center"/>
    </xf>
    <xf numFmtId="40" fontId="2" fillId="2" borderId="8" xfId="1" applyNumberFormat="1" applyFont="1" applyFill="1" applyBorder="1" applyAlignment="1" applyProtection="1">
      <alignment vertical="center"/>
    </xf>
    <xf numFmtId="38" fontId="2" fillId="2" borderId="9" xfId="1" applyFont="1" applyFill="1" applyBorder="1" applyAlignment="1" applyProtection="1">
      <alignment vertical="center"/>
    </xf>
    <xf numFmtId="0" fontId="6" fillId="2" borderId="33" xfId="0" applyFont="1" applyFill="1" applyBorder="1" applyAlignment="1">
      <alignment horizontal="center" wrapText="1"/>
    </xf>
    <xf numFmtId="0" fontId="5" fillId="2" borderId="34" xfId="0" applyFont="1" applyFill="1" applyBorder="1"/>
    <xf numFmtId="0" fontId="5" fillId="2" borderId="50" xfId="0" applyFont="1" applyFill="1" applyBorder="1" applyAlignment="1">
      <alignment horizontal="center"/>
    </xf>
    <xf numFmtId="0" fontId="5" fillId="2" borderId="34" xfId="0" applyFont="1" applyFill="1" applyBorder="1" applyAlignment="1">
      <alignment horizontal="center"/>
    </xf>
    <xf numFmtId="38" fontId="5" fillId="2" borderId="34" xfId="1" applyFont="1" applyFill="1" applyBorder="1"/>
    <xf numFmtId="0" fontId="4" fillId="2" borderId="34" xfId="0" applyFont="1" applyFill="1" applyBorder="1" applyAlignment="1">
      <alignment horizontal="right"/>
    </xf>
    <xf numFmtId="38" fontId="4" fillId="2" borderId="34" xfId="0" applyNumberFormat="1" applyFont="1" applyFill="1" applyBorder="1" applyAlignment="1">
      <alignment horizontal="right" vertical="center"/>
    </xf>
    <xf numFmtId="0" fontId="5" fillId="2" borderId="35" xfId="0" applyFont="1" applyFill="1" applyBorder="1"/>
    <xf numFmtId="38" fontId="12" fillId="2" borderId="34" xfId="0" applyNumberFormat="1" applyFont="1" applyFill="1" applyBorder="1"/>
    <xf numFmtId="0" fontId="12" fillId="2" borderId="34" xfId="0" applyFont="1" applyFill="1" applyBorder="1"/>
    <xf numFmtId="0" fontId="10" fillId="2" borderId="30" xfId="0" applyFont="1" applyFill="1" applyBorder="1" applyAlignment="1">
      <alignment horizontal="distributed"/>
    </xf>
    <xf numFmtId="0" fontId="2" fillId="2" borderId="51" xfId="0" applyFont="1" applyFill="1" applyBorder="1" applyAlignment="1">
      <alignment horizontal="center"/>
    </xf>
    <xf numFmtId="0" fontId="5" fillId="2" borderId="51" xfId="0" applyFont="1" applyFill="1" applyBorder="1"/>
    <xf numFmtId="38" fontId="2" fillId="2" borderId="51" xfId="1" applyFont="1" applyFill="1" applyBorder="1" applyAlignment="1" applyProtection="1">
      <alignment horizontal="right" vertical="center"/>
      <protection locked="0"/>
    </xf>
    <xf numFmtId="38" fontId="2" fillId="2" borderId="52" xfId="0" applyNumberFormat="1" applyFont="1" applyFill="1" applyBorder="1" applyAlignment="1">
      <alignment vertical="center"/>
    </xf>
    <xf numFmtId="38" fontId="2" fillId="2" borderId="51" xfId="1" applyFont="1" applyFill="1" applyBorder="1" applyAlignment="1" applyProtection="1">
      <alignment horizontal="center"/>
      <protection locked="0"/>
    </xf>
    <xf numFmtId="38" fontId="2" fillId="2" borderId="51" xfId="1" applyFont="1" applyFill="1" applyBorder="1" applyAlignment="1">
      <alignment horizontal="center"/>
    </xf>
    <xf numFmtId="38" fontId="3" fillId="2" borderId="51" xfId="1" applyFont="1" applyFill="1" applyBorder="1" applyAlignment="1">
      <alignment horizontal="right"/>
    </xf>
    <xf numFmtId="0" fontId="6" fillId="2" borderId="49" xfId="0" applyFont="1" applyFill="1" applyBorder="1" applyAlignment="1">
      <alignment horizontal="distributed" vertical="center"/>
    </xf>
    <xf numFmtId="38" fontId="2" fillId="2" borderId="51" xfId="0" applyNumberFormat="1" applyFont="1" applyFill="1" applyBorder="1"/>
    <xf numFmtId="38" fontId="2" fillId="2" borderId="51" xfId="0" applyNumberFormat="1" applyFont="1" applyFill="1" applyBorder="1" applyAlignment="1" applyProtection="1">
      <alignment horizontal="center"/>
      <protection locked="0"/>
    </xf>
    <xf numFmtId="0" fontId="2" fillId="2" borderId="51" xfId="0" applyFont="1" applyFill="1" applyBorder="1" applyAlignment="1" applyProtection="1">
      <alignment horizontal="center"/>
      <protection locked="0"/>
    </xf>
    <xf numFmtId="0" fontId="2" fillId="2" borderId="51" xfId="0" applyFont="1" applyFill="1" applyBorder="1" applyProtection="1">
      <protection locked="0"/>
    </xf>
    <xf numFmtId="0" fontId="2" fillId="2" borderId="51" xfId="0" applyFont="1" applyFill="1" applyBorder="1" applyAlignment="1" applyProtection="1">
      <alignment horizontal="right" vertical="center"/>
      <protection locked="0"/>
    </xf>
    <xf numFmtId="38" fontId="13" fillId="2" borderId="51" xfId="1" applyFont="1" applyFill="1" applyBorder="1" applyAlignment="1" applyProtection="1">
      <alignment horizontal="right" vertical="center"/>
      <protection locked="0"/>
    </xf>
    <xf numFmtId="0" fontId="5" fillId="2" borderId="48" xfId="0" applyFont="1" applyFill="1" applyBorder="1" applyAlignment="1">
      <alignment horizontal="center"/>
    </xf>
    <xf numFmtId="0" fontId="5" fillId="2" borderId="51" xfId="0" applyFont="1" applyFill="1" applyBorder="1" applyAlignment="1">
      <alignment horizontal="center"/>
    </xf>
    <xf numFmtId="38" fontId="5" fillId="2" borderId="51" xfId="1" applyFont="1" applyFill="1" applyBorder="1"/>
    <xf numFmtId="0" fontId="4" fillId="2" borderId="51" xfId="0" applyFont="1" applyFill="1" applyBorder="1" applyAlignment="1">
      <alignment horizontal="right"/>
    </xf>
    <xf numFmtId="38" fontId="4" fillId="2" borderId="51" xfId="0" applyNumberFormat="1" applyFont="1" applyFill="1" applyBorder="1" applyAlignment="1">
      <alignment horizontal="right" vertical="center"/>
    </xf>
    <xf numFmtId="38" fontId="2" fillId="2" borderId="52" xfId="1" applyFont="1" applyFill="1" applyBorder="1" applyAlignment="1">
      <alignment vertical="center"/>
    </xf>
    <xf numFmtId="0" fontId="5" fillId="2" borderId="53" xfId="0" applyFont="1" applyFill="1" applyBorder="1"/>
    <xf numFmtId="0" fontId="2" fillId="2" borderId="51" xfId="0" applyFont="1" applyFill="1" applyBorder="1"/>
    <xf numFmtId="38" fontId="12" fillId="2" borderId="51" xfId="0" applyNumberFormat="1" applyFont="1" applyFill="1" applyBorder="1"/>
    <xf numFmtId="0" fontId="12" fillId="2" borderId="51" xfId="0" applyFont="1" applyFill="1" applyBorder="1"/>
    <xf numFmtId="0" fontId="5" fillId="2" borderId="54" xfId="0" applyFont="1" applyFill="1" applyBorder="1"/>
    <xf numFmtId="0" fontId="5" fillId="2" borderId="46" xfId="0" applyFont="1" applyFill="1" applyBorder="1"/>
    <xf numFmtId="38" fontId="2" fillId="2" borderId="51" xfId="1" applyFont="1" applyFill="1" applyBorder="1" applyProtection="1">
      <protection locked="0"/>
    </xf>
    <xf numFmtId="0" fontId="5" fillId="2" borderId="46" xfId="0" applyFont="1" applyFill="1" applyBorder="1" applyProtection="1">
      <protection locked="0"/>
    </xf>
    <xf numFmtId="38" fontId="3" fillId="2" borderId="51" xfId="1" applyFont="1" applyFill="1" applyBorder="1" applyAlignment="1" applyProtection="1">
      <alignment horizontal="right" vertical="center"/>
      <protection locked="0"/>
    </xf>
    <xf numFmtId="0" fontId="10" fillId="2" borderId="26" xfId="0" applyFont="1" applyFill="1" applyBorder="1" applyAlignment="1">
      <alignment horizontal="center"/>
    </xf>
    <xf numFmtId="0" fontId="6" fillId="2" borderId="2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5" fillId="2" borderId="3" xfId="0" applyFont="1" applyFill="1" applyBorder="1"/>
    <xf numFmtId="0" fontId="5" fillId="2" borderId="30" xfId="0" applyFont="1" applyFill="1" applyBorder="1"/>
    <xf numFmtId="0" fontId="6" fillId="2" borderId="27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10" fillId="2" borderId="55" xfId="0" applyFont="1" applyFill="1" applyBorder="1" applyAlignment="1">
      <alignment horizontal="center"/>
    </xf>
    <xf numFmtId="0" fontId="5" fillId="2" borderId="8" xfId="0" applyFont="1" applyFill="1" applyBorder="1"/>
    <xf numFmtId="0" fontId="6" fillId="2" borderId="56" xfId="0" applyFont="1" applyFill="1" applyBorder="1" applyAlignment="1">
      <alignment horizontal="center" vertical="center" wrapText="1"/>
    </xf>
    <xf numFmtId="0" fontId="10" fillId="2" borderId="57" xfId="0" applyFont="1" applyFill="1" applyBorder="1" applyAlignment="1">
      <alignment horizontal="center"/>
    </xf>
    <xf numFmtId="38" fontId="2" fillId="2" borderId="51" xfId="1" applyFont="1" applyFill="1" applyBorder="1" applyAlignment="1" applyProtection="1">
      <alignment vertical="center"/>
    </xf>
    <xf numFmtId="38" fontId="2" fillId="2" borderId="52" xfId="1" applyFont="1" applyFill="1" applyBorder="1" applyAlignment="1" applyProtection="1">
      <alignment vertical="center"/>
    </xf>
    <xf numFmtId="0" fontId="10" fillId="2" borderId="11" xfId="0" applyFont="1" applyFill="1" applyBorder="1" applyAlignment="1">
      <alignment horizontal="center"/>
    </xf>
    <xf numFmtId="0" fontId="10" fillId="2" borderId="58" xfId="0" applyFont="1" applyFill="1" applyBorder="1" applyAlignment="1">
      <alignment horizontal="center"/>
    </xf>
    <xf numFmtId="0" fontId="5" fillId="2" borderId="59" xfId="0" applyFont="1" applyFill="1" applyBorder="1"/>
    <xf numFmtId="0" fontId="5" fillId="2" borderId="60" xfId="0" applyFont="1" applyFill="1" applyBorder="1"/>
    <xf numFmtId="0" fontId="4" fillId="2" borderId="60" xfId="0" applyFont="1" applyFill="1" applyBorder="1" applyAlignment="1">
      <alignment horizontal="right" vertical="center"/>
    </xf>
    <xf numFmtId="38" fontId="2" fillId="2" borderId="61" xfId="1" applyFont="1" applyFill="1" applyBorder="1" applyAlignment="1" applyProtection="1">
      <alignment vertical="center"/>
    </xf>
    <xf numFmtId="0" fontId="5" fillId="2" borderId="63" xfId="0" applyFont="1" applyFill="1" applyBorder="1"/>
    <xf numFmtId="38" fontId="2" fillId="2" borderId="61" xfId="1" applyFont="1" applyFill="1" applyBorder="1" applyAlignment="1">
      <alignment vertical="center"/>
    </xf>
    <xf numFmtId="38" fontId="2" fillId="2" borderId="3" xfId="1" applyFont="1" applyFill="1" applyBorder="1" applyAlignment="1" applyProtection="1">
      <alignment horizontal="right" vertical="center"/>
    </xf>
    <xf numFmtId="38" fontId="2" fillId="2" borderId="3" xfId="0" applyNumberFormat="1" applyFont="1" applyFill="1" applyBorder="1" applyAlignment="1">
      <alignment horizontal="center" vertical="center"/>
    </xf>
    <xf numFmtId="38" fontId="11" fillId="2" borderId="53" xfId="1" applyFont="1" applyFill="1" applyBorder="1" applyAlignment="1" applyProtection="1">
      <alignment horizontal="right" vertical="center"/>
      <protection locked="0"/>
    </xf>
    <xf numFmtId="38" fontId="2" fillId="2" borderId="51" xfId="1" applyFont="1" applyFill="1" applyBorder="1" applyAlignment="1" applyProtection="1">
      <alignment horizontal="left" vertical="center"/>
    </xf>
    <xf numFmtId="0" fontId="6" fillId="2" borderId="50" xfId="0" applyFont="1" applyFill="1" applyBorder="1" applyAlignment="1" applyProtection="1">
      <alignment horizontal="left" vertical="center"/>
      <protection locked="0"/>
    </xf>
    <xf numFmtId="0" fontId="6" fillId="2" borderId="41" xfId="0" applyFont="1" applyFill="1" applyBorder="1" applyAlignment="1">
      <alignment horizontal="left" vertical="center"/>
    </xf>
    <xf numFmtId="0" fontId="6" fillId="2" borderId="50" xfId="0" applyFont="1" applyFill="1" applyBorder="1" applyAlignment="1">
      <alignment horizontal="left" vertical="center"/>
    </xf>
    <xf numFmtId="0" fontId="6" fillId="2" borderId="62" xfId="0" applyFont="1" applyFill="1" applyBorder="1" applyAlignment="1">
      <alignment horizontal="left" vertical="center"/>
    </xf>
    <xf numFmtId="38" fontId="15" fillId="0" borderId="0" xfId="1" applyFont="1"/>
    <xf numFmtId="38" fontId="17" fillId="0" borderId="72" xfId="1" applyFont="1" applyBorder="1" applyAlignment="1" applyProtection="1">
      <alignment horizontal="left"/>
      <protection locked="0"/>
    </xf>
    <xf numFmtId="38" fontId="19" fillId="5" borderId="72" xfId="1" applyFont="1" applyFill="1" applyBorder="1" applyAlignment="1" applyProtection="1">
      <alignment horizontal="right"/>
      <protection locked="0"/>
    </xf>
    <xf numFmtId="38" fontId="17" fillId="0" borderId="0" xfId="1" applyFont="1" applyBorder="1" applyAlignment="1">
      <alignment horizontal="left"/>
    </xf>
    <xf numFmtId="177" fontId="19" fillId="5" borderId="72" xfId="1" applyNumberFormat="1" applyFont="1" applyFill="1" applyBorder="1" applyAlignment="1">
      <alignment horizontal="right"/>
    </xf>
    <xf numFmtId="38" fontId="20" fillId="0" borderId="0" xfId="1" applyFont="1" applyBorder="1" applyAlignment="1" applyProtection="1">
      <alignment horizontal="right"/>
    </xf>
    <xf numFmtId="38" fontId="19" fillId="5" borderId="72" xfId="1" applyFont="1" applyFill="1" applyBorder="1" applyAlignment="1">
      <alignment horizontal="right"/>
    </xf>
    <xf numFmtId="38" fontId="21" fillId="0" borderId="0" xfId="1" applyFont="1" applyBorder="1" applyAlignment="1" applyProtection="1">
      <alignment horizontal="right"/>
      <protection locked="0"/>
    </xf>
    <xf numFmtId="38" fontId="22" fillId="0" borderId="0" xfId="1" applyFont="1" applyAlignment="1">
      <alignment horizontal="left"/>
    </xf>
    <xf numFmtId="38" fontId="22" fillId="0" borderId="0" xfId="1" applyFont="1"/>
    <xf numFmtId="38" fontId="19" fillId="0" borderId="0" xfId="1" applyFont="1" applyAlignment="1">
      <alignment horizontal="centerContinuous" vertical="center"/>
    </xf>
    <xf numFmtId="38" fontId="17" fillId="0" borderId="72" xfId="1" applyFont="1" applyBorder="1" applyAlignment="1">
      <alignment horizontal="left"/>
    </xf>
    <xf numFmtId="38" fontId="24" fillId="0" borderId="72" xfId="1" applyFont="1" applyBorder="1" applyAlignment="1">
      <alignment horizontal="left"/>
    </xf>
    <xf numFmtId="9" fontId="19" fillId="5" borderId="72" xfId="2" applyFont="1" applyFill="1" applyBorder="1" applyAlignment="1">
      <alignment horizontal="right"/>
    </xf>
    <xf numFmtId="38" fontId="22" fillId="0" borderId="0" xfId="1" applyFont="1" applyAlignment="1">
      <alignment horizontal="centerContinuous"/>
    </xf>
    <xf numFmtId="38" fontId="24" fillId="0" borderId="72" xfId="1" applyFont="1" applyBorder="1" applyAlignment="1" applyProtection="1">
      <alignment horizontal="left"/>
      <protection locked="0"/>
    </xf>
    <xf numFmtId="49" fontId="21" fillId="0" borderId="15" xfId="1" applyNumberFormat="1" applyFont="1" applyBorder="1" applyAlignment="1" applyProtection="1">
      <alignment horizontal="right"/>
      <protection locked="0"/>
    </xf>
    <xf numFmtId="38" fontId="21" fillId="0" borderId="15" xfId="1" applyFont="1" applyBorder="1" applyAlignment="1">
      <alignment horizontal="center"/>
    </xf>
    <xf numFmtId="38" fontId="21" fillId="0" borderId="15" xfId="1" applyFont="1" applyBorder="1" applyAlignment="1" applyProtection="1">
      <alignment horizontal="right"/>
      <protection locked="0"/>
    </xf>
    <xf numFmtId="38" fontId="28" fillId="0" borderId="0" xfId="1" applyFont="1" applyAlignment="1" applyProtection="1">
      <alignment horizontal="right" vertical="top"/>
    </xf>
    <xf numFmtId="38" fontId="28" fillId="0" borderId="0" xfId="1" applyFont="1" applyAlignment="1" applyProtection="1">
      <alignment horizontal="right" vertical="top"/>
      <protection locked="0"/>
    </xf>
    <xf numFmtId="38" fontId="28" fillId="0" borderId="0" xfId="1" applyFont="1" applyAlignment="1">
      <alignment horizontal="distributed" vertical="top"/>
    </xf>
    <xf numFmtId="38" fontId="28" fillId="0" borderId="0" xfId="1" applyFont="1" applyAlignment="1">
      <alignment horizontal="left" vertical="top"/>
    </xf>
    <xf numFmtId="38" fontId="28" fillId="0" borderId="15" xfId="1" applyFont="1" applyBorder="1" applyAlignment="1">
      <alignment horizontal="center" vertical="top"/>
    </xf>
    <xf numFmtId="38" fontId="30" fillId="0" borderId="15" xfId="1" applyFont="1" applyFill="1" applyBorder="1" applyAlignment="1" applyProtection="1">
      <alignment horizontal="left" vertical="top"/>
      <protection locked="0"/>
    </xf>
    <xf numFmtId="38" fontId="28" fillId="0" borderId="15" xfId="1" applyFont="1" applyBorder="1" applyAlignment="1" applyProtection="1">
      <alignment horizontal="center" vertical="top"/>
      <protection locked="0"/>
    </xf>
    <xf numFmtId="38" fontId="28" fillId="0" borderId="0" xfId="1" applyFont="1" applyAlignment="1" applyProtection="1">
      <alignment horizontal="center" vertical="top"/>
      <protection locked="0"/>
    </xf>
    <xf numFmtId="38" fontId="28" fillId="0" borderId="15" xfId="1" applyFont="1" applyBorder="1" applyAlignment="1">
      <alignment horizontal="right" vertical="top" wrapText="1"/>
    </xf>
    <xf numFmtId="38" fontId="30" fillId="0" borderId="15" xfId="1" applyFont="1" applyFill="1" applyBorder="1" applyAlignment="1">
      <alignment horizontal="center" vertical="top"/>
    </xf>
    <xf numFmtId="176" fontId="38" fillId="2" borderId="3" xfId="1" applyNumberFormat="1" applyFont="1" applyFill="1" applyBorder="1" applyAlignment="1">
      <alignment horizontal="right" vertical="center"/>
    </xf>
    <xf numFmtId="176" fontId="38" fillId="2" borderId="3" xfId="1" applyNumberFormat="1" applyFont="1" applyFill="1" applyBorder="1" applyAlignment="1" applyProtection="1">
      <alignment horizontal="right" vertical="center"/>
      <protection locked="0"/>
    </xf>
    <xf numFmtId="38" fontId="38" fillId="2" borderId="65" xfId="1" applyFont="1" applyFill="1" applyBorder="1" applyAlignment="1" applyProtection="1">
      <alignment vertical="center"/>
      <protection locked="0"/>
    </xf>
    <xf numFmtId="176" fontId="38" fillId="2" borderId="3" xfId="1" applyNumberFormat="1" applyFont="1" applyFill="1" applyBorder="1" applyAlignment="1" applyProtection="1">
      <alignment vertical="center"/>
      <protection locked="0"/>
    </xf>
    <xf numFmtId="176" fontId="38" fillId="2" borderId="76" xfId="1" applyNumberFormat="1" applyFont="1" applyFill="1" applyBorder="1" applyAlignment="1">
      <alignment horizontal="right" vertical="center"/>
    </xf>
    <xf numFmtId="38" fontId="22" fillId="7" borderId="77" xfId="1" applyFont="1" applyFill="1" applyBorder="1" applyProtection="1"/>
    <xf numFmtId="178" fontId="38" fillId="7" borderId="72" xfId="1" applyNumberFormat="1" applyFont="1" applyFill="1" applyBorder="1" applyAlignment="1" applyProtection="1">
      <alignment horizontal="right" vertical="center"/>
    </xf>
    <xf numFmtId="38" fontId="38" fillId="7" borderId="78" xfId="1" applyFont="1" applyFill="1" applyBorder="1" applyAlignment="1" applyProtection="1">
      <alignment vertical="center"/>
    </xf>
    <xf numFmtId="38" fontId="17" fillId="7" borderId="77" xfId="1" applyFont="1" applyFill="1" applyBorder="1" applyAlignment="1" applyProtection="1">
      <alignment horizontal="right" vertical="center"/>
    </xf>
    <xf numFmtId="38" fontId="22" fillId="7" borderId="79" xfId="1" applyFont="1" applyFill="1" applyBorder="1"/>
    <xf numFmtId="38" fontId="22" fillId="7" borderId="77" xfId="1" applyFont="1" applyFill="1" applyBorder="1"/>
    <xf numFmtId="38" fontId="17" fillId="7" borderId="77" xfId="1" applyFont="1" applyFill="1" applyBorder="1" applyAlignment="1">
      <alignment horizontal="right" vertical="center"/>
    </xf>
    <xf numFmtId="178" fontId="38" fillId="7" borderId="72" xfId="1" applyNumberFormat="1" applyFont="1" applyFill="1" applyBorder="1" applyAlignment="1">
      <alignment horizontal="right" vertical="center"/>
    </xf>
    <xf numFmtId="38" fontId="34" fillId="0" borderId="0" xfId="1" applyFont="1"/>
    <xf numFmtId="38" fontId="37" fillId="7" borderId="84" xfId="1" applyFont="1" applyFill="1" applyBorder="1" applyAlignment="1">
      <alignment horizontal="right" vertical="center"/>
    </xf>
    <xf numFmtId="38" fontId="37" fillId="7" borderId="73" xfId="1" applyFont="1" applyFill="1" applyBorder="1" applyAlignment="1">
      <alignment horizontal="right" vertical="center" shrinkToFit="1"/>
    </xf>
    <xf numFmtId="38" fontId="37" fillId="7" borderId="73" xfId="1" applyFont="1" applyFill="1" applyBorder="1" applyAlignment="1">
      <alignment horizontal="right" vertical="center"/>
    </xf>
    <xf numFmtId="38" fontId="37" fillId="7" borderId="15" xfId="1" applyFont="1" applyFill="1" applyBorder="1" applyAlignment="1">
      <alignment horizontal="right" vertical="center"/>
    </xf>
    <xf numFmtId="38" fontId="38" fillId="0" borderId="86" xfId="1" applyFont="1" applyFill="1" applyBorder="1" applyAlignment="1" applyProtection="1">
      <alignment horizontal="right" vertical="center"/>
      <protection locked="0"/>
    </xf>
    <xf numFmtId="38" fontId="43" fillId="0" borderId="68" xfId="1" applyFont="1" applyFill="1" applyBorder="1" applyAlignment="1">
      <alignment horizontal="right" vertical="center"/>
    </xf>
    <xf numFmtId="38" fontId="34" fillId="8" borderId="0" xfId="1" applyFont="1" applyFill="1" applyBorder="1"/>
    <xf numFmtId="38" fontId="22" fillId="8" borderId="0" xfId="1" applyFont="1" applyFill="1"/>
    <xf numFmtId="38" fontId="38" fillId="2" borderId="87" xfId="1" applyFont="1" applyFill="1" applyBorder="1" applyAlignment="1">
      <alignment horizontal="right" vertical="center"/>
    </xf>
    <xf numFmtId="176" fontId="38" fillId="2" borderId="88" xfId="1" applyNumberFormat="1" applyFont="1" applyFill="1" applyBorder="1" applyAlignment="1">
      <alignment horizontal="right" vertical="center"/>
    </xf>
    <xf numFmtId="38" fontId="38" fillId="2" borderId="65" xfId="1" applyFont="1" applyFill="1" applyBorder="1" applyAlignment="1" applyProtection="1">
      <alignment horizontal="right" vertical="center"/>
      <protection locked="0"/>
    </xf>
    <xf numFmtId="38" fontId="17" fillId="7" borderId="89" xfId="1" applyFont="1" applyFill="1" applyBorder="1" applyAlignment="1">
      <alignment horizontal="right" vertical="center"/>
    </xf>
    <xf numFmtId="38" fontId="38" fillId="2" borderId="92" xfId="1" applyFont="1" applyFill="1" applyBorder="1" applyAlignment="1">
      <alignment horizontal="right" vertical="center"/>
    </xf>
    <xf numFmtId="176" fontId="38" fillId="2" borderId="71" xfId="1" applyNumberFormat="1" applyFont="1" applyFill="1" applyBorder="1" applyAlignment="1">
      <alignment horizontal="right" vertical="center"/>
    </xf>
    <xf numFmtId="38" fontId="38" fillId="2" borderId="75" xfId="1" applyFont="1" applyFill="1" applyBorder="1" applyAlignment="1" applyProtection="1">
      <alignment horizontal="right" vertical="center"/>
      <protection locked="0"/>
    </xf>
    <xf numFmtId="176" fontId="38" fillId="2" borderId="76" xfId="1" applyNumberFormat="1" applyFont="1" applyFill="1" applyBorder="1" applyAlignment="1" applyProtection="1">
      <alignment horizontal="right" vertical="center"/>
      <protection locked="0"/>
    </xf>
    <xf numFmtId="38" fontId="37" fillId="0" borderId="96" xfId="1" applyFont="1" applyFill="1" applyBorder="1" applyAlignment="1">
      <alignment horizontal="distributed" vertical="center"/>
    </xf>
    <xf numFmtId="179" fontId="38" fillId="5" borderId="97" xfId="2" applyNumberFormat="1" applyFont="1" applyFill="1" applyBorder="1" applyAlignment="1" applyProtection="1">
      <alignment horizontal="right" vertical="center"/>
      <protection locked="0"/>
    </xf>
    <xf numFmtId="38" fontId="37" fillId="0" borderId="28" xfId="1" applyFont="1" applyFill="1" applyBorder="1" applyAlignment="1">
      <alignment horizontal="distributed" vertical="center"/>
    </xf>
    <xf numFmtId="38" fontId="38" fillId="5" borderId="92" xfId="1" applyFont="1" applyFill="1" applyBorder="1" applyAlignment="1" applyProtection="1">
      <alignment horizontal="right" vertical="center"/>
      <protection locked="0"/>
    </xf>
    <xf numFmtId="9" fontId="43" fillId="0" borderId="98" xfId="2" applyFont="1" applyFill="1" applyBorder="1" applyAlignment="1">
      <alignment horizontal="right"/>
    </xf>
    <xf numFmtId="38" fontId="43" fillId="0" borderId="69" xfId="1" applyFont="1" applyFill="1" applyBorder="1" applyAlignment="1">
      <alignment horizontal="right"/>
    </xf>
    <xf numFmtId="38" fontId="37" fillId="0" borderId="24" xfId="1" applyFont="1" applyFill="1" applyBorder="1" applyAlignment="1">
      <alignment horizontal="distributed" vertical="center"/>
    </xf>
    <xf numFmtId="38" fontId="38" fillId="5" borderId="101" xfId="1" applyFont="1" applyFill="1" applyBorder="1" applyAlignment="1" applyProtection="1">
      <alignment horizontal="right" vertical="center"/>
      <protection locked="0"/>
    </xf>
    <xf numFmtId="178" fontId="43" fillId="7" borderId="90" xfId="2" applyNumberFormat="1" applyFont="1" applyFill="1" applyBorder="1" applyAlignment="1">
      <alignment horizontal="right" vertical="center"/>
    </xf>
    <xf numFmtId="38" fontId="37" fillId="0" borderId="85" xfId="1" applyFont="1" applyFill="1" applyBorder="1" applyAlignment="1">
      <alignment horizontal="distributed" vertical="center"/>
    </xf>
    <xf numFmtId="38" fontId="43" fillId="5" borderId="97" xfId="1" applyFont="1" applyFill="1" applyBorder="1" applyAlignment="1">
      <alignment horizontal="right" vertical="center"/>
    </xf>
    <xf numFmtId="38" fontId="43" fillId="5" borderId="92" xfId="1" applyFont="1" applyFill="1" applyBorder="1" applyAlignment="1">
      <alignment horizontal="right"/>
    </xf>
    <xf numFmtId="38" fontId="43" fillId="5" borderId="92" xfId="1" applyFont="1" applyFill="1" applyBorder="1" applyAlignment="1" applyProtection="1">
      <alignment horizontal="right" vertical="center"/>
      <protection locked="0"/>
    </xf>
    <xf numFmtId="179" fontId="43" fillId="5" borderId="101" xfId="2" applyNumberFormat="1" applyFont="1" applyFill="1" applyBorder="1" applyAlignment="1" applyProtection="1">
      <alignment horizontal="right" vertical="center"/>
      <protection locked="0"/>
    </xf>
    <xf numFmtId="38" fontId="38" fillId="2" borderId="86" xfId="1" applyFont="1" applyFill="1" applyBorder="1" applyAlignment="1" applyProtection="1">
      <alignment horizontal="right" vertical="center"/>
      <protection locked="0"/>
    </xf>
    <xf numFmtId="38" fontId="38" fillId="2" borderId="88" xfId="1" applyFont="1" applyFill="1" applyBorder="1" applyAlignment="1">
      <alignment horizontal="left" vertical="center"/>
    </xf>
    <xf numFmtId="38" fontId="38" fillId="2" borderId="68" xfId="1" applyFont="1" applyFill="1" applyBorder="1" applyAlignment="1" applyProtection="1">
      <alignment vertical="center"/>
      <protection locked="0"/>
    </xf>
    <xf numFmtId="38" fontId="38" fillId="2" borderId="75" xfId="1" applyFont="1" applyFill="1" applyBorder="1" applyAlignment="1">
      <alignment horizontal="right"/>
    </xf>
    <xf numFmtId="38" fontId="38" fillId="2" borderId="65" xfId="1" applyFont="1" applyFill="1" applyBorder="1" applyAlignment="1">
      <alignment vertical="center"/>
    </xf>
    <xf numFmtId="38" fontId="34" fillId="8" borderId="0" xfId="1" applyFont="1" applyFill="1"/>
    <xf numFmtId="38" fontId="38" fillId="0" borderId="101" xfId="1" applyFont="1" applyBorder="1"/>
    <xf numFmtId="176" fontId="38" fillId="0" borderId="23" xfId="1" applyNumberFormat="1" applyFont="1" applyBorder="1" applyAlignment="1">
      <alignment horizontal="right"/>
    </xf>
    <xf numFmtId="176" fontId="38" fillId="0" borderId="23" xfId="1" applyNumberFormat="1" applyFont="1" applyBorder="1"/>
    <xf numFmtId="38" fontId="38" fillId="0" borderId="61" xfId="1" applyFont="1" applyBorder="1"/>
    <xf numFmtId="38" fontId="37" fillId="0" borderId="74" xfId="1" applyFont="1" applyFill="1" applyBorder="1" applyAlignment="1">
      <alignment horizontal="distributed" vertical="center"/>
    </xf>
    <xf numFmtId="38" fontId="43" fillId="5" borderId="101" xfId="1" applyFont="1" applyFill="1" applyBorder="1" applyAlignment="1" applyProtection="1">
      <alignment horizontal="right" vertical="center"/>
      <protection locked="0"/>
    </xf>
    <xf numFmtId="38" fontId="38" fillId="7" borderId="90" xfId="1" applyFont="1" applyFill="1" applyBorder="1"/>
    <xf numFmtId="38" fontId="38" fillId="7" borderId="105" xfId="1" applyFont="1" applyFill="1" applyBorder="1" applyAlignment="1">
      <alignment horizontal="right"/>
    </xf>
    <xf numFmtId="178" fontId="38" fillId="7" borderId="105" xfId="1" applyNumberFormat="1" applyFont="1" applyFill="1" applyBorder="1" applyAlignment="1">
      <alignment horizontal="right" vertical="center"/>
    </xf>
    <xf numFmtId="38" fontId="38" fillId="7" borderId="72" xfId="1" applyFont="1" applyFill="1" applyBorder="1"/>
    <xf numFmtId="38" fontId="47" fillId="0" borderId="66" xfId="1" applyFont="1" applyFill="1" applyBorder="1" applyAlignment="1">
      <alignment horizontal="left"/>
    </xf>
    <xf numFmtId="38" fontId="47" fillId="0" borderId="66" xfId="1" applyFont="1" applyFill="1" applyBorder="1" applyAlignment="1">
      <alignment horizontal="right"/>
    </xf>
    <xf numFmtId="180" fontId="32" fillId="0" borderId="66" xfId="2" applyNumberFormat="1" applyFont="1" applyFill="1" applyBorder="1" applyAlignment="1">
      <alignment horizontal="right"/>
    </xf>
    <xf numFmtId="183" fontId="32" fillId="0" borderId="66" xfId="1" applyNumberFormat="1" applyFont="1" applyFill="1" applyBorder="1" applyAlignment="1">
      <alignment horizontal="right"/>
    </xf>
    <xf numFmtId="38" fontId="49" fillId="0" borderId="64" xfId="1" applyFont="1" applyFill="1" applyBorder="1" applyAlignment="1">
      <alignment horizontal="distributed" wrapText="1"/>
    </xf>
    <xf numFmtId="38" fontId="49" fillId="5" borderId="77" xfId="1" applyFont="1" applyFill="1" applyBorder="1" applyAlignment="1">
      <alignment horizontal="right"/>
    </xf>
    <xf numFmtId="38" fontId="49" fillId="0" borderId="72" xfId="1" applyFont="1" applyFill="1" applyBorder="1" applyAlignment="1">
      <alignment horizontal="center"/>
    </xf>
    <xf numFmtId="176" fontId="49" fillId="0" borderId="72" xfId="1" applyNumberFormat="1" applyFont="1" applyFill="1" applyBorder="1" applyAlignment="1">
      <alignment horizontal="center"/>
    </xf>
    <xf numFmtId="176" fontId="28" fillId="0" borderId="72" xfId="1" applyNumberFormat="1" applyFont="1" applyFill="1" applyBorder="1" applyAlignment="1">
      <alignment horizontal="center"/>
    </xf>
    <xf numFmtId="38" fontId="28" fillId="0" borderId="72" xfId="1" applyFont="1" applyFill="1" applyBorder="1" applyAlignment="1">
      <alignment horizontal="center"/>
    </xf>
    <xf numFmtId="38" fontId="28" fillId="0" borderId="104" xfId="1" applyFont="1" applyFill="1" applyBorder="1" applyAlignment="1"/>
    <xf numFmtId="38" fontId="41" fillId="0" borderId="72" xfId="1" applyFont="1" applyFill="1" applyBorder="1" applyAlignment="1"/>
    <xf numFmtId="38" fontId="28" fillId="0" borderId="72" xfId="1" applyFont="1" applyFill="1" applyBorder="1" applyAlignment="1"/>
    <xf numFmtId="38" fontId="28" fillId="5" borderId="72" xfId="1" applyFont="1" applyFill="1" applyBorder="1" applyAlignment="1">
      <alignment horizontal="center"/>
    </xf>
    <xf numFmtId="38" fontId="19" fillId="0" borderId="104" xfId="1" applyFont="1" applyFill="1" applyBorder="1" applyAlignment="1"/>
    <xf numFmtId="0" fontId="4" fillId="2" borderId="98" xfId="0" applyFont="1" applyFill="1" applyBorder="1" applyAlignment="1">
      <alignment horizontal="right" vertical="center"/>
    </xf>
    <xf numFmtId="38" fontId="2" fillId="2" borderId="51" xfId="1" applyFont="1" applyFill="1" applyBorder="1" applyAlignment="1">
      <alignment vertical="center"/>
    </xf>
    <xf numFmtId="38" fontId="17" fillId="7" borderId="72" xfId="1" applyFont="1" applyFill="1" applyBorder="1" applyAlignment="1">
      <alignment horizontal="right" vertical="center"/>
    </xf>
    <xf numFmtId="38" fontId="2" fillId="2" borderId="9" xfId="1" applyFont="1" applyFill="1" applyBorder="1" applyAlignment="1" applyProtection="1">
      <alignment vertical="center"/>
      <protection locked="0"/>
    </xf>
    <xf numFmtId="0" fontId="10" fillId="4" borderId="8" xfId="0" applyFont="1" applyFill="1" applyBorder="1" applyAlignment="1">
      <alignment horizontal="distributed" vertical="center"/>
    </xf>
    <xf numFmtId="0" fontId="11" fillId="4" borderId="8" xfId="0" applyFont="1" applyFill="1" applyBorder="1" applyAlignment="1">
      <alignment horizontal="distributed" vertical="center"/>
    </xf>
    <xf numFmtId="0" fontId="10" fillId="4" borderId="8" xfId="0" applyFont="1" applyFill="1" applyBorder="1" applyAlignment="1">
      <alignment horizontal="center" vertical="center"/>
    </xf>
    <xf numFmtId="38" fontId="2" fillId="2" borderId="43" xfId="1" applyFont="1" applyFill="1" applyBorder="1" applyAlignment="1" applyProtection="1">
      <alignment vertical="center"/>
      <protection locked="0"/>
    </xf>
    <xf numFmtId="12" fontId="2" fillId="2" borderId="7" xfId="1" applyNumberFormat="1" applyFont="1" applyFill="1" applyBorder="1" applyAlignment="1" applyProtection="1">
      <alignment vertical="center"/>
    </xf>
    <xf numFmtId="40" fontId="2" fillId="2" borderId="88" xfId="1" applyNumberFormat="1" applyFont="1" applyFill="1" applyBorder="1" applyAlignment="1" applyProtection="1">
      <alignment vertical="center"/>
      <protection locked="0"/>
    </xf>
    <xf numFmtId="40" fontId="2" fillId="2" borderId="106" xfId="1" applyNumberFormat="1" applyFont="1" applyFill="1" applyBorder="1" applyAlignment="1" applyProtection="1">
      <alignment vertical="center"/>
      <protection locked="0"/>
    </xf>
    <xf numFmtId="38" fontId="2" fillId="2" borderId="43" xfId="1" applyFont="1" applyFill="1" applyBorder="1" applyAlignment="1" applyProtection="1">
      <alignment vertical="center"/>
    </xf>
    <xf numFmtId="38" fontId="2" fillId="2" borderId="107" xfId="1" applyFont="1" applyFill="1" applyBorder="1" applyAlignment="1" applyProtection="1">
      <alignment vertical="center"/>
    </xf>
    <xf numFmtId="40" fontId="2" fillId="2" borderId="88" xfId="1" applyNumberFormat="1" applyFont="1" applyFill="1" applyBorder="1" applyAlignment="1" applyProtection="1">
      <alignment vertical="center"/>
    </xf>
    <xf numFmtId="38" fontId="2" fillId="2" borderId="108" xfId="1" applyFont="1" applyFill="1" applyBorder="1" applyAlignment="1" applyProtection="1">
      <alignment vertical="center"/>
    </xf>
    <xf numFmtId="0" fontId="4" fillId="2" borderId="11" xfId="0" applyFont="1" applyFill="1" applyBorder="1" applyAlignment="1">
      <alignment horizontal="right" vertical="center"/>
    </xf>
    <xf numFmtId="38" fontId="2" fillId="2" borderId="43" xfId="1" applyFont="1" applyFill="1" applyBorder="1" applyAlignment="1">
      <alignment vertical="center"/>
    </xf>
    <xf numFmtId="0" fontId="4" fillId="2" borderId="15" xfId="0" applyFont="1" applyFill="1" applyBorder="1" applyAlignment="1">
      <alignment horizontal="right" vertical="center"/>
    </xf>
    <xf numFmtId="40" fontId="2" fillId="2" borderId="106" xfId="1" applyNumberFormat="1" applyFont="1" applyFill="1" applyBorder="1" applyAlignment="1" applyProtection="1">
      <alignment vertical="center"/>
    </xf>
    <xf numFmtId="38" fontId="18" fillId="0" borderId="72" xfId="1" applyFont="1" applyBorder="1" applyAlignment="1" applyProtection="1">
      <alignment horizontal="left"/>
      <protection locked="0"/>
    </xf>
    <xf numFmtId="38" fontId="23" fillId="0" borderId="72" xfId="1" applyFont="1" applyBorder="1" applyAlignment="1">
      <alignment horizontal="left"/>
    </xf>
    <xf numFmtId="38" fontId="47" fillId="0" borderId="67" xfId="1" applyFont="1" applyFill="1" applyBorder="1" applyAlignment="1">
      <alignment horizontal="left"/>
    </xf>
    <xf numFmtId="38" fontId="47" fillId="0" borderId="67" xfId="1" applyFont="1" applyFill="1" applyBorder="1" applyAlignment="1">
      <alignment horizontal="right"/>
    </xf>
    <xf numFmtId="180" fontId="32" fillId="0" borderId="67" xfId="2" applyNumberFormat="1" applyFont="1" applyFill="1" applyBorder="1" applyAlignment="1">
      <alignment horizontal="right"/>
    </xf>
    <xf numFmtId="183" fontId="32" fillId="0" borderId="67" xfId="1" applyNumberFormat="1" applyFont="1" applyFill="1" applyBorder="1" applyAlignment="1">
      <alignment horizontal="right"/>
    </xf>
    <xf numFmtId="38" fontId="22" fillId="0" borderId="0" xfId="1" applyFont="1" applyBorder="1"/>
    <xf numFmtId="38" fontId="2" fillId="2" borderId="1" xfId="1" applyFont="1" applyFill="1" applyBorder="1" applyAlignment="1" applyProtection="1">
      <alignment horizontal="right" vertical="center"/>
      <protection locked="0"/>
    </xf>
    <xf numFmtId="38" fontId="28" fillId="0" borderId="77" xfId="1" applyFont="1" applyBorder="1" applyAlignment="1" applyProtection="1">
      <alignment vertical="top"/>
    </xf>
    <xf numFmtId="38" fontId="56" fillId="0" borderId="0" xfId="1" applyFont="1" applyAlignment="1">
      <alignment vertical="center"/>
    </xf>
    <xf numFmtId="38" fontId="44" fillId="7" borderId="94" xfId="1" applyFont="1" applyFill="1" applyBorder="1" applyAlignment="1">
      <alignment horizontal="center"/>
    </xf>
    <xf numFmtId="38" fontId="32" fillId="7" borderId="72" xfId="1" applyFont="1" applyFill="1" applyBorder="1" applyAlignment="1">
      <alignment horizontal="center"/>
    </xf>
    <xf numFmtId="178" fontId="38" fillId="7" borderId="0" xfId="1" applyNumberFormat="1" applyFont="1" applyFill="1" applyBorder="1" applyAlignment="1" applyProtection="1">
      <alignment horizontal="right" vertical="center"/>
    </xf>
    <xf numFmtId="38" fontId="36" fillId="0" borderId="96" xfId="1" applyFont="1" applyFill="1" applyBorder="1" applyAlignment="1">
      <alignment horizontal="distributed" vertical="center"/>
    </xf>
    <xf numFmtId="179" fontId="57" fillId="5" borderId="97" xfId="2" applyNumberFormat="1" applyFont="1" applyFill="1" applyBorder="1" applyAlignment="1" applyProtection="1">
      <alignment horizontal="right" vertical="center"/>
      <protection locked="0"/>
    </xf>
    <xf numFmtId="9" fontId="37" fillId="0" borderId="28" xfId="1" applyNumberFormat="1" applyFont="1" applyFill="1" applyBorder="1" applyAlignment="1">
      <alignment horizontal="distributed" vertical="center"/>
    </xf>
    <xf numFmtId="38" fontId="39" fillId="0" borderId="68" xfId="1" applyFont="1" applyFill="1" applyBorder="1" applyAlignment="1">
      <alignment horizontal="distributed" vertical="center"/>
    </xf>
    <xf numFmtId="38" fontId="44" fillId="7" borderId="0" xfId="1" applyFont="1" applyFill="1" applyBorder="1" applyAlignment="1">
      <alignment horizontal="center"/>
    </xf>
    <xf numFmtId="182" fontId="32" fillId="7" borderId="98" xfId="1" applyNumberFormat="1" applyFont="1" applyFill="1" applyBorder="1" applyAlignment="1">
      <alignment horizontal="center"/>
    </xf>
    <xf numFmtId="38" fontId="22" fillId="7" borderId="93" xfId="1" applyFont="1" applyFill="1" applyBorder="1" applyProtection="1"/>
    <xf numFmtId="38" fontId="22" fillId="7" borderId="94" xfId="1" applyFont="1" applyFill="1" applyBorder="1" applyProtection="1"/>
    <xf numFmtId="38" fontId="17" fillId="7" borderId="0" xfId="1" applyFont="1" applyFill="1" applyBorder="1" applyAlignment="1" applyProtection="1">
      <alignment horizontal="right" vertical="center"/>
    </xf>
    <xf numFmtId="38" fontId="38" fillId="7" borderId="95" xfId="1" applyFont="1" applyFill="1" applyBorder="1" applyAlignment="1" applyProtection="1">
      <alignment vertical="center"/>
    </xf>
    <xf numFmtId="38" fontId="37" fillId="7" borderId="93" xfId="1" applyFont="1" applyFill="1" applyBorder="1" applyAlignment="1" applyProtection="1">
      <alignment horizontal="left" vertical="center"/>
    </xf>
    <xf numFmtId="38" fontId="43" fillId="0" borderId="0" xfId="1" applyFont="1" applyFill="1" applyBorder="1" applyAlignment="1" applyProtection="1">
      <alignment horizontal="right" vertical="center"/>
      <protection locked="0"/>
    </xf>
    <xf numFmtId="38" fontId="37" fillId="7" borderId="114" xfId="1" applyFont="1" applyFill="1" applyBorder="1" applyAlignment="1">
      <alignment horizontal="distributed" vertical="center"/>
    </xf>
    <xf numFmtId="38" fontId="58" fillId="0" borderId="115" xfId="1" applyFont="1" applyFill="1" applyBorder="1" applyAlignment="1">
      <alignment horizontal="right" vertical="center"/>
    </xf>
    <xf numFmtId="38" fontId="37" fillId="2" borderId="116" xfId="1" applyFont="1" applyFill="1" applyBorder="1" applyAlignment="1">
      <alignment horizontal="distributed" vertical="center"/>
    </xf>
    <xf numFmtId="38" fontId="43" fillId="0" borderId="117" xfId="1" applyFont="1" applyFill="1" applyBorder="1" applyAlignment="1">
      <alignment horizontal="right" vertical="center"/>
    </xf>
    <xf numFmtId="38" fontId="37" fillId="2" borderId="116" xfId="1" applyFont="1" applyFill="1" applyBorder="1" applyAlignment="1" applyProtection="1">
      <alignment horizontal="distributed" vertical="center"/>
      <protection locked="0"/>
    </xf>
    <xf numFmtId="38" fontId="43" fillId="0" borderId="115" xfId="1" applyFont="1" applyFill="1" applyBorder="1" applyAlignment="1">
      <alignment horizontal="right" vertical="center"/>
    </xf>
    <xf numFmtId="38" fontId="43" fillId="0" borderId="31" xfId="1" applyFont="1" applyFill="1" applyBorder="1" applyAlignment="1">
      <alignment horizontal="right" vertical="center"/>
    </xf>
    <xf numFmtId="38" fontId="43" fillId="0" borderId="119" xfId="1" applyFont="1" applyFill="1" applyBorder="1" applyAlignment="1" applyProtection="1">
      <alignment horizontal="right" vertical="center"/>
      <protection locked="0"/>
    </xf>
    <xf numFmtId="38" fontId="43" fillId="7" borderId="120" xfId="1" applyFont="1" applyFill="1" applyBorder="1" applyAlignment="1" applyProtection="1">
      <alignment horizontal="right" vertical="center"/>
      <protection locked="0"/>
    </xf>
    <xf numFmtId="38" fontId="39" fillId="2" borderId="116" xfId="1" applyFont="1" applyFill="1" applyBorder="1" applyAlignment="1" applyProtection="1">
      <alignment horizontal="distributed" vertical="center"/>
      <protection locked="0"/>
    </xf>
    <xf numFmtId="38" fontId="43" fillId="0" borderId="117" xfId="1" applyFont="1" applyFill="1" applyBorder="1" applyAlignment="1" applyProtection="1">
      <alignment horizontal="right" vertical="center"/>
      <protection locked="0"/>
    </xf>
    <xf numFmtId="38" fontId="43" fillId="0" borderId="31" xfId="1" applyFont="1" applyFill="1" applyBorder="1" applyAlignment="1" applyProtection="1">
      <alignment horizontal="right" vertical="center"/>
      <protection locked="0"/>
    </xf>
    <xf numFmtId="38" fontId="37" fillId="2" borderId="121" xfId="1" applyFont="1" applyFill="1" applyBorder="1" applyAlignment="1">
      <alignment horizontal="distributed" vertical="center"/>
    </xf>
    <xf numFmtId="38" fontId="54" fillId="0" borderId="122" xfId="1" applyFont="1" applyBorder="1" applyAlignment="1">
      <alignment horizontal="distributed"/>
    </xf>
    <xf numFmtId="38" fontId="17" fillId="7" borderId="123" xfId="1" applyFont="1" applyFill="1" applyBorder="1" applyAlignment="1">
      <alignment horizontal="right" vertical="center"/>
    </xf>
    <xf numFmtId="38" fontId="39" fillId="0" borderId="121" xfId="1" applyFont="1" applyFill="1" applyBorder="1" applyAlignment="1">
      <alignment horizontal="distributed" vertical="center"/>
    </xf>
    <xf numFmtId="38" fontId="17" fillId="7" borderId="114" xfId="1" applyFont="1" applyFill="1" applyBorder="1" applyAlignment="1">
      <alignment horizontal="right" vertical="center"/>
    </xf>
    <xf numFmtId="38" fontId="17" fillId="7" borderId="15" xfId="1" applyFont="1" applyFill="1" applyBorder="1" applyAlignment="1">
      <alignment horizontal="right" vertical="center"/>
    </xf>
    <xf numFmtId="178" fontId="38" fillId="7" borderId="84" xfId="1" applyNumberFormat="1" applyFont="1" applyFill="1" applyBorder="1" applyAlignment="1" applyProtection="1">
      <alignment horizontal="right" vertical="center"/>
      <protection locked="0"/>
    </xf>
    <xf numFmtId="38" fontId="43" fillId="7" borderId="15" xfId="1" applyFont="1" applyFill="1" applyBorder="1" applyAlignment="1" applyProtection="1">
      <alignment horizontal="right" vertical="center"/>
      <protection locked="0"/>
    </xf>
    <xf numFmtId="38" fontId="17" fillId="7" borderId="74" xfId="1" applyFont="1" applyFill="1" applyBorder="1" applyAlignment="1">
      <alignment horizontal="right" vertical="center"/>
    </xf>
    <xf numFmtId="178" fontId="43" fillId="7" borderId="84" xfId="2" applyNumberFormat="1" applyFont="1" applyFill="1" applyBorder="1" applyAlignment="1">
      <alignment horizontal="right" vertical="center"/>
    </xf>
    <xf numFmtId="38" fontId="43" fillId="7" borderId="125" xfId="1" applyFont="1" applyFill="1" applyBorder="1" applyAlignment="1" applyProtection="1">
      <alignment horizontal="right" vertical="center"/>
      <protection locked="0"/>
    </xf>
    <xf numFmtId="38" fontId="43" fillId="0" borderId="0" xfId="1" applyFont="1" applyFill="1" applyBorder="1" applyAlignment="1">
      <alignment horizontal="right" vertical="center"/>
    </xf>
    <xf numFmtId="38" fontId="32" fillId="0" borderId="67" xfId="1" applyFont="1" applyFill="1" applyBorder="1" applyAlignment="1">
      <alignment horizontal="center" vertical="center"/>
    </xf>
    <xf numFmtId="38" fontId="22" fillId="0" borderId="0" xfId="1" applyFont="1" applyFill="1"/>
    <xf numFmtId="0" fontId="11" fillId="2" borderId="126" xfId="0" applyFont="1" applyFill="1" applyBorder="1" applyAlignment="1" applyProtection="1">
      <alignment horizontal="right" vertical="center"/>
      <protection locked="0"/>
    </xf>
    <xf numFmtId="38" fontId="2" fillId="2" borderId="54" xfId="1" applyFont="1" applyFill="1" applyBorder="1" applyAlignment="1" applyProtection="1">
      <alignment horizontal="left" vertical="center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184" fontId="2" fillId="2" borderId="3" xfId="1" applyNumberFormat="1" applyFont="1" applyFill="1" applyBorder="1" applyAlignment="1">
      <alignment vertical="center"/>
    </xf>
    <xf numFmtId="184" fontId="2" fillId="2" borderId="8" xfId="1" applyNumberFormat="1" applyFont="1" applyFill="1" applyBorder="1" applyAlignment="1" applyProtection="1">
      <alignment vertical="center"/>
      <protection locked="0"/>
    </xf>
    <xf numFmtId="184" fontId="2" fillId="2" borderId="106" xfId="1" applyNumberFormat="1" applyFont="1" applyFill="1" applyBorder="1" applyAlignment="1" applyProtection="1">
      <alignment vertical="center"/>
    </xf>
    <xf numFmtId="184" fontId="2" fillId="2" borderId="88" xfId="1" applyNumberFormat="1" applyFont="1" applyFill="1" applyBorder="1" applyAlignment="1" applyProtection="1">
      <alignment vertical="center"/>
      <protection locked="0"/>
    </xf>
    <xf numFmtId="184" fontId="2" fillId="2" borderId="3" xfId="1" applyNumberFormat="1" applyFont="1" applyFill="1" applyBorder="1" applyAlignment="1" applyProtection="1">
      <alignment vertical="center"/>
      <protection locked="0"/>
    </xf>
    <xf numFmtId="184" fontId="11" fillId="2" borderId="34" xfId="1" applyNumberFormat="1" applyFont="1" applyFill="1" applyBorder="1"/>
    <xf numFmtId="184" fontId="2" fillId="2" borderId="8" xfId="1" applyNumberFormat="1" applyFont="1" applyFill="1" applyBorder="1" applyAlignment="1">
      <alignment vertical="center"/>
    </xf>
    <xf numFmtId="184" fontId="2" fillId="2" borderId="106" xfId="1" applyNumberFormat="1" applyFont="1" applyFill="1" applyBorder="1" applyAlignment="1">
      <alignment vertical="center"/>
    </xf>
    <xf numFmtId="184" fontId="5" fillId="2" borderId="15" xfId="0" applyNumberFormat="1" applyFont="1" applyFill="1" applyBorder="1"/>
    <xf numFmtId="184" fontId="2" fillId="2" borderId="88" xfId="1" applyNumberFormat="1" applyFont="1" applyFill="1" applyBorder="1" applyAlignment="1" applyProtection="1">
      <alignment vertical="center"/>
    </xf>
    <xf numFmtId="184" fontId="2" fillId="2" borderId="3" xfId="1" applyNumberFormat="1" applyFont="1" applyFill="1" applyBorder="1" applyAlignment="1" applyProtection="1">
      <alignment vertical="center"/>
    </xf>
    <xf numFmtId="184" fontId="12" fillId="2" borderId="0" xfId="1" applyNumberFormat="1" applyFont="1" applyFill="1" applyBorder="1" applyProtection="1"/>
    <xf numFmtId="184" fontId="2" fillId="2" borderId="8" xfId="1" applyNumberFormat="1" applyFont="1" applyFill="1" applyBorder="1" applyAlignment="1" applyProtection="1">
      <alignment vertical="center"/>
    </xf>
    <xf numFmtId="184" fontId="5" fillId="2" borderId="34" xfId="0" applyNumberFormat="1" applyFont="1" applyFill="1" applyBorder="1"/>
    <xf numFmtId="184" fontId="5" fillId="2" borderId="11" xfId="0" applyNumberFormat="1" applyFont="1" applyFill="1" applyBorder="1"/>
    <xf numFmtId="184" fontId="2" fillId="2" borderId="51" xfId="1" applyNumberFormat="1" applyFont="1" applyFill="1" applyBorder="1" applyAlignment="1">
      <alignment vertical="center"/>
    </xf>
    <xf numFmtId="185" fontId="2" fillId="2" borderId="106" xfId="1" applyNumberFormat="1" applyFont="1" applyFill="1" applyBorder="1" applyAlignment="1" applyProtection="1">
      <alignment vertical="center"/>
    </xf>
    <xf numFmtId="185" fontId="5" fillId="2" borderId="11" xfId="0" applyNumberFormat="1" applyFont="1" applyFill="1" applyBorder="1"/>
    <xf numFmtId="185" fontId="2" fillId="2" borderId="51" xfId="1" applyNumberFormat="1" applyFont="1" applyFill="1" applyBorder="1" applyAlignment="1">
      <alignment vertical="center"/>
    </xf>
    <xf numFmtId="185" fontId="5" fillId="2" borderId="34" xfId="0" applyNumberFormat="1" applyFont="1" applyFill="1" applyBorder="1"/>
    <xf numFmtId="0" fontId="5" fillId="3" borderId="127" xfId="0" applyFont="1" applyFill="1" applyBorder="1" applyAlignment="1">
      <alignment horizontal="centerContinuous"/>
    </xf>
    <xf numFmtId="38" fontId="28" fillId="0" borderId="0" xfId="1" applyFont="1" applyBorder="1" applyAlignment="1">
      <alignment horizontal="right" vertical="top" wrapText="1"/>
    </xf>
    <xf numFmtId="38" fontId="30" fillId="0" borderId="0" xfId="1" applyFont="1" applyFill="1" applyBorder="1" applyAlignment="1">
      <alignment horizontal="center" vertical="top"/>
    </xf>
    <xf numFmtId="38" fontId="32" fillId="6" borderId="124" xfId="1" applyFont="1" applyFill="1" applyBorder="1" applyAlignment="1">
      <alignment horizontal="center" vertical="center"/>
    </xf>
    <xf numFmtId="38" fontId="32" fillId="6" borderId="67" xfId="1" applyFont="1" applyFill="1" applyBorder="1" applyAlignment="1">
      <alignment horizontal="center" vertical="center"/>
    </xf>
    <xf numFmtId="38" fontId="32" fillId="6" borderId="83" xfId="1" applyFont="1" applyFill="1" applyBorder="1" applyAlignment="1">
      <alignment horizontal="center" vertical="center"/>
    </xf>
    <xf numFmtId="38" fontId="32" fillId="6" borderId="112" xfId="1" applyFont="1" applyFill="1" applyBorder="1" applyAlignment="1">
      <alignment horizontal="center" vertical="center"/>
    </xf>
    <xf numFmtId="38" fontId="32" fillId="6" borderId="110" xfId="1" applyFont="1" applyFill="1" applyBorder="1" applyAlignment="1">
      <alignment horizontal="center" vertical="center"/>
    </xf>
    <xf numFmtId="38" fontId="32" fillId="6" borderId="113" xfId="1" applyFont="1" applyFill="1" applyBorder="1" applyAlignment="1">
      <alignment horizontal="center" vertical="center"/>
    </xf>
    <xf numFmtId="38" fontId="53" fillId="0" borderId="72" xfId="1" applyFont="1" applyBorder="1" applyAlignment="1" applyProtection="1">
      <alignment horizontal="left" vertical="center"/>
      <protection locked="0"/>
    </xf>
    <xf numFmtId="38" fontId="55" fillId="0" borderId="66" xfId="1" applyFont="1" applyBorder="1" applyAlignment="1">
      <alignment horizontal="center" vertical="center"/>
    </xf>
    <xf numFmtId="38" fontId="28" fillId="0" borderId="77" xfId="1" applyFont="1" applyBorder="1" applyAlignment="1" applyProtection="1">
      <alignment horizontal="center" vertical="top"/>
    </xf>
    <xf numFmtId="38" fontId="44" fillId="7" borderId="94" xfId="1" applyFont="1" applyFill="1" applyBorder="1" applyAlignment="1">
      <alignment horizontal="center"/>
    </xf>
    <xf numFmtId="38" fontId="44" fillId="7" borderId="68" xfId="1" applyFont="1" applyFill="1" applyBorder="1" applyAlignment="1">
      <alignment horizontal="center"/>
    </xf>
    <xf numFmtId="9" fontId="43" fillId="7" borderId="98" xfId="2" applyFont="1" applyFill="1" applyBorder="1" applyAlignment="1">
      <alignment horizontal="center"/>
    </xf>
    <xf numFmtId="9" fontId="43" fillId="7" borderId="69" xfId="2" applyFont="1" applyFill="1" applyBorder="1" applyAlignment="1">
      <alignment horizontal="center"/>
    </xf>
    <xf numFmtId="178" fontId="43" fillId="7" borderId="103" xfId="1" applyNumberFormat="1" applyFont="1" applyFill="1" applyBorder="1" applyAlignment="1">
      <alignment horizontal="center"/>
    </xf>
    <xf numFmtId="178" fontId="43" fillId="7" borderId="68" xfId="1" applyNumberFormat="1" applyFont="1" applyFill="1" applyBorder="1" applyAlignment="1">
      <alignment horizontal="center"/>
    </xf>
    <xf numFmtId="38" fontId="32" fillId="7" borderId="98" xfId="1" applyFont="1" applyFill="1" applyBorder="1" applyAlignment="1">
      <alignment horizontal="center"/>
    </xf>
    <xf numFmtId="38" fontId="32" fillId="7" borderId="72" xfId="1" applyFont="1" applyFill="1" applyBorder="1" applyAlignment="1">
      <alignment horizontal="center"/>
    </xf>
    <xf numFmtId="38" fontId="47" fillId="0" borderId="94" xfId="1" applyFont="1" applyFill="1" applyBorder="1" applyAlignment="1">
      <alignment horizontal="center"/>
    </xf>
    <xf numFmtId="38" fontId="47" fillId="0" borderId="69" xfId="1" applyFont="1" applyFill="1" applyBorder="1" applyAlignment="1">
      <alignment horizontal="center"/>
    </xf>
    <xf numFmtId="38" fontId="47" fillId="7" borderId="103" xfId="1" applyFont="1" applyFill="1" applyBorder="1" applyAlignment="1">
      <alignment horizontal="center"/>
    </xf>
    <xf numFmtId="38" fontId="47" fillId="7" borderId="69" xfId="1" applyFont="1" applyFill="1" applyBorder="1" applyAlignment="1">
      <alignment horizontal="center"/>
    </xf>
    <xf numFmtId="9" fontId="43" fillId="0" borderId="98" xfId="2" applyFont="1" applyFill="1" applyBorder="1" applyAlignment="1">
      <alignment horizontal="center"/>
    </xf>
    <xf numFmtId="9" fontId="43" fillId="0" borderId="69" xfId="2" applyFont="1" applyFill="1" applyBorder="1" applyAlignment="1">
      <alignment horizontal="center"/>
    </xf>
    <xf numFmtId="178" fontId="43" fillId="0" borderId="103" xfId="1" applyNumberFormat="1" applyFont="1" applyFill="1" applyBorder="1" applyAlignment="1">
      <alignment horizontal="center"/>
    </xf>
    <xf numFmtId="178" fontId="43" fillId="0" borderId="68" xfId="1" applyNumberFormat="1" applyFont="1" applyFill="1" applyBorder="1" applyAlignment="1">
      <alignment horizontal="center"/>
    </xf>
    <xf numFmtId="38" fontId="32" fillId="7" borderId="98" xfId="1" applyFont="1" applyFill="1" applyBorder="1" applyAlignment="1">
      <alignment horizontal="right"/>
    </xf>
    <xf numFmtId="38" fontId="32" fillId="7" borderId="72" xfId="1" applyFont="1" applyFill="1" applyBorder="1" applyAlignment="1">
      <alignment horizontal="right"/>
    </xf>
    <xf numFmtId="178" fontId="43" fillId="0" borderId="103" xfId="1" applyNumberFormat="1" applyFont="1" applyFill="1" applyBorder="1" applyAlignment="1">
      <alignment horizontal="right"/>
    </xf>
    <xf numFmtId="178" fontId="43" fillId="0" borderId="68" xfId="1" applyNumberFormat="1" applyFont="1" applyFill="1" applyBorder="1" applyAlignment="1">
      <alignment horizontal="right"/>
    </xf>
    <xf numFmtId="9" fontId="43" fillId="7" borderId="98" xfId="2" applyFont="1" applyFill="1" applyBorder="1" applyAlignment="1">
      <alignment horizontal="right"/>
    </xf>
    <xf numFmtId="9" fontId="43" fillId="7" borderId="69" xfId="2" applyFont="1" applyFill="1" applyBorder="1" applyAlignment="1">
      <alignment horizontal="right"/>
    </xf>
    <xf numFmtId="180" fontId="43" fillId="6" borderId="98" xfId="2" applyNumberFormat="1" applyFont="1" applyFill="1" applyBorder="1" applyAlignment="1">
      <alignment horizontal="right"/>
    </xf>
    <xf numFmtId="180" fontId="43" fillId="6" borderId="69" xfId="2" applyNumberFormat="1" applyFont="1" applyFill="1" applyBorder="1" applyAlignment="1">
      <alignment horizontal="right"/>
    </xf>
    <xf numFmtId="9" fontId="43" fillId="0" borderId="98" xfId="2" applyFont="1" applyFill="1" applyBorder="1" applyAlignment="1">
      <alignment horizontal="right"/>
    </xf>
    <xf numFmtId="9" fontId="43" fillId="0" borderId="69" xfId="2" applyFont="1" applyFill="1" applyBorder="1" applyAlignment="1">
      <alignment horizontal="right"/>
    </xf>
    <xf numFmtId="38" fontId="32" fillId="6" borderId="109" xfId="1" applyFont="1" applyFill="1" applyBorder="1" applyAlignment="1">
      <alignment horizontal="center" vertical="center"/>
    </xf>
    <xf numFmtId="38" fontId="32" fillId="6" borderId="111" xfId="1" applyFont="1" applyFill="1" applyBorder="1" applyAlignment="1">
      <alignment horizontal="center" vertical="center"/>
    </xf>
    <xf numFmtId="38" fontId="35" fillId="6" borderId="67" xfId="1" applyFont="1" applyFill="1" applyBorder="1" applyAlignment="1">
      <alignment horizontal="center" vertical="center"/>
    </xf>
    <xf numFmtId="38" fontId="35" fillId="6" borderId="83" xfId="1" applyFont="1" applyFill="1" applyBorder="1" applyAlignment="1">
      <alignment horizontal="center" vertical="center"/>
    </xf>
    <xf numFmtId="38" fontId="35" fillId="6" borderId="0" xfId="1" applyFont="1" applyFill="1" applyBorder="1" applyAlignment="1">
      <alignment horizontal="center" vertical="center"/>
    </xf>
    <xf numFmtId="38" fontId="35" fillId="6" borderId="6" xfId="1" applyFont="1" applyFill="1" applyBorder="1" applyAlignment="1">
      <alignment horizontal="center" vertical="center"/>
    </xf>
    <xf numFmtId="38" fontId="35" fillId="6" borderId="15" xfId="1" applyFont="1" applyFill="1" applyBorder="1" applyAlignment="1">
      <alignment horizontal="center" vertical="center"/>
    </xf>
    <xf numFmtId="38" fontId="35" fillId="6" borderId="10" xfId="1" applyFont="1" applyFill="1" applyBorder="1" applyAlignment="1">
      <alignment horizontal="center" vertical="center"/>
    </xf>
    <xf numFmtId="38" fontId="32" fillId="6" borderId="80" xfId="1" applyFont="1" applyFill="1" applyBorder="1" applyAlignment="1">
      <alignment horizontal="center" vertical="center"/>
    </xf>
    <xf numFmtId="38" fontId="32" fillId="6" borderId="81" xfId="1" applyFont="1" applyFill="1" applyBorder="1" applyAlignment="1">
      <alignment horizontal="center" vertical="center"/>
    </xf>
    <xf numFmtId="38" fontId="32" fillId="6" borderId="118" xfId="1" applyFont="1" applyFill="1" applyBorder="1" applyAlignment="1">
      <alignment horizontal="center" vertical="center"/>
    </xf>
    <xf numFmtId="180" fontId="32" fillId="6" borderId="103" xfId="2" applyNumberFormat="1" applyFont="1" applyFill="1" applyBorder="1" applyAlignment="1">
      <alignment horizontal="right"/>
    </xf>
    <xf numFmtId="180" fontId="32" fillId="6" borderId="72" xfId="2" applyNumberFormat="1" applyFont="1" applyFill="1" applyBorder="1" applyAlignment="1">
      <alignment horizontal="right"/>
    </xf>
    <xf numFmtId="183" fontId="32" fillId="6" borderId="103" xfId="1" applyNumberFormat="1" applyFont="1" applyFill="1" applyBorder="1" applyAlignment="1">
      <alignment horizontal="right"/>
    </xf>
    <xf numFmtId="183" fontId="32" fillId="6" borderId="72" xfId="1" applyNumberFormat="1" applyFont="1" applyFill="1" applyBorder="1" applyAlignment="1">
      <alignment horizontal="right"/>
    </xf>
    <xf numFmtId="183" fontId="32" fillId="6" borderId="70" xfId="1" applyNumberFormat="1" applyFont="1" applyFill="1" applyBorder="1" applyAlignment="1">
      <alignment horizontal="right"/>
    </xf>
    <xf numFmtId="183" fontId="32" fillId="6" borderId="104" xfId="1" applyNumberFormat="1" applyFont="1" applyFill="1" applyBorder="1" applyAlignment="1">
      <alignment horizontal="right"/>
    </xf>
    <xf numFmtId="38" fontId="47" fillId="6" borderId="103" xfId="1" applyFont="1" applyFill="1" applyBorder="1" applyAlignment="1">
      <alignment horizontal="center"/>
    </xf>
    <xf numFmtId="38" fontId="47" fillId="6" borderId="72" xfId="1" applyFont="1" applyFill="1" applyBorder="1" applyAlignment="1">
      <alignment horizontal="center"/>
    </xf>
    <xf numFmtId="38" fontId="47" fillId="6" borderId="103" xfId="1" applyFont="1" applyFill="1" applyBorder="1" applyAlignment="1">
      <alignment horizontal="center" wrapText="1"/>
    </xf>
    <xf numFmtId="38" fontId="47" fillId="6" borderId="72" xfId="1" applyFont="1" applyFill="1" applyBorder="1" applyAlignment="1">
      <alignment horizontal="center" wrapText="1"/>
    </xf>
    <xf numFmtId="38" fontId="47" fillId="7" borderId="70" xfId="1" applyFont="1" applyFill="1" applyBorder="1" applyAlignment="1">
      <alignment horizontal="right"/>
    </xf>
    <xf numFmtId="38" fontId="47" fillId="7" borderId="100" xfId="1" applyFont="1" applyFill="1" applyBorder="1" applyAlignment="1">
      <alignment horizontal="right"/>
    </xf>
    <xf numFmtId="38" fontId="47" fillId="6" borderId="103" xfId="1" applyFont="1" applyFill="1" applyBorder="1" applyAlignment="1">
      <alignment horizontal="left"/>
    </xf>
    <xf numFmtId="38" fontId="47" fillId="6" borderId="72" xfId="1" applyFont="1" applyFill="1" applyBorder="1" applyAlignment="1">
      <alignment horizontal="left"/>
    </xf>
    <xf numFmtId="38" fontId="47" fillId="6" borderId="103" xfId="1" applyFont="1" applyFill="1" applyBorder="1" applyAlignment="1">
      <alignment horizontal="right"/>
    </xf>
    <xf numFmtId="38" fontId="47" fillId="6" borderId="72" xfId="1" applyFont="1" applyFill="1" applyBorder="1" applyAlignment="1">
      <alignment horizontal="right"/>
    </xf>
    <xf numFmtId="38" fontId="47" fillId="6" borderId="103" xfId="1" applyFont="1" applyFill="1" applyBorder="1" applyAlignment="1">
      <alignment horizontal="right" wrapText="1"/>
    </xf>
    <xf numFmtId="38" fontId="47" fillId="6" borderId="72" xfId="1" applyFont="1" applyFill="1" applyBorder="1" applyAlignment="1">
      <alignment horizontal="right" wrapText="1"/>
    </xf>
    <xf numFmtId="38" fontId="47" fillId="6" borderId="102" xfId="1" applyFont="1" applyFill="1" applyBorder="1" applyAlignment="1">
      <alignment horizontal="left"/>
    </xf>
    <xf numFmtId="38" fontId="47" fillId="6" borderId="64" xfId="1" applyFont="1" applyFill="1" applyBorder="1" applyAlignment="1">
      <alignment horizontal="left"/>
    </xf>
    <xf numFmtId="38" fontId="47" fillId="7" borderId="102" xfId="1" applyFont="1" applyFill="1" applyBorder="1" applyAlignment="1">
      <alignment horizontal="left"/>
    </xf>
    <xf numFmtId="38" fontId="47" fillId="7" borderId="103" xfId="1" applyFont="1" applyFill="1" applyBorder="1" applyAlignment="1">
      <alignment horizontal="left"/>
    </xf>
    <xf numFmtId="38" fontId="47" fillId="7" borderId="99" xfId="1" applyFont="1" applyFill="1" applyBorder="1" applyAlignment="1">
      <alignment horizontal="left"/>
    </xf>
    <xf numFmtId="38" fontId="47" fillId="7" borderId="69" xfId="1" applyFont="1" applyFill="1" applyBorder="1" applyAlignment="1">
      <alignment horizontal="left"/>
    </xf>
    <xf numFmtId="38" fontId="47" fillId="7" borderId="103" xfId="1" applyFont="1" applyFill="1" applyBorder="1" applyAlignment="1">
      <alignment horizontal="right"/>
    </xf>
    <xf numFmtId="38" fontId="47" fillId="7" borderId="69" xfId="1" applyFont="1" applyFill="1" applyBorder="1" applyAlignment="1">
      <alignment horizontal="right"/>
    </xf>
    <xf numFmtId="9" fontId="47" fillId="7" borderId="103" xfId="2" applyFont="1" applyFill="1" applyBorder="1" applyAlignment="1">
      <alignment horizontal="right"/>
    </xf>
    <xf numFmtId="9" fontId="47" fillId="7" borderId="69" xfId="2" applyFont="1" applyFill="1" applyBorder="1" applyAlignment="1">
      <alignment horizontal="right"/>
    </xf>
    <xf numFmtId="38" fontId="47" fillId="0" borderId="95" xfId="1" applyFont="1" applyFill="1" applyBorder="1" applyAlignment="1">
      <alignment horizontal="right"/>
    </xf>
    <xf numFmtId="38" fontId="47" fillId="0" borderId="100" xfId="1" applyFont="1" applyFill="1" applyBorder="1" applyAlignment="1">
      <alignment horizontal="right"/>
    </xf>
    <xf numFmtId="38" fontId="46" fillId="0" borderId="94" xfId="1" applyFont="1" applyFill="1" applyBorder="1" applyAlignment="1">
      <alignment horizontal="left"/>
    </xf>
    <xf numFmtId="38" fontId="47" fillId="0" borderId="94" xfId="1" applyFont="1" applyFill="1" applyBorder="1" applyAlignment="1">
      <alignment horizontal="left"/>
    </xf>
    <xf numFmtId="38" fontId="47" fillId="0" borderId="69" xfId="1" applyFont="1" applyFill="1" applyBorder="1" applyAlignment="1">
      <alignment horizontal="left"/>
    </xf>
    <xf numFmtId="38" fontId="47" fillId="0" borderId="94" xfId="1" applyFont="1" applyFill="1" applyBorder="1" applyAlignment="1">
      <alignment horizontal="right"/>
    </xf>
    <xf numFmtId="38" fontId="47" fillId="0" borderId="69" xfId="1" applyFont="1" applyFill="1" applyBorder="1" applyAlignment="1">
      <alignment horizontal="right"/>
    </xf>
    <xf numFmtId="9" fontId="47" fillId="0" borderId="94" xfId="2" applyFont="1" applyFill="1" applyBorder="1" applyAlignment="1">
      <alignment horizontal="right"/>
    </xf>
    <xf numFmtId="9" fontId="47" fillId="0" borderId="69" xfId="2" applyFont="1" applyFill="1" applyBorder="1" applyAlignment="1">
      <alignment horizontal="right"/>
    </xf>
    <xf numFmtId="183" fontId="32" fillId="6" borderId="98" xfId="1" applyNumberFormat="1" applyFont="1" applyFill="1" applyBorder="1" applyAlignment="1">
      <alignment horizontal="right"/>
    </xf>
    <xf numFmtId="38" fontId="46" fillId="0" borderId="93" xfId="1" applyFont="1" applyFill="1" applyBorder="1" applyAlignment="1">
      <alignment horizontal="left"/>
    </xf>
    <xf numFmtId="38" fontId="47" fillId="0" borderId="99" xfId="1" applyFont="1" applyFill="1" applyBorder="1" applyAlignment="1">
      <alignment horizontal="left"/>
    </xf>
    <xf numFmtId="178" fontId="43" fillId="6" borderId="70" xfId="1" applyNumberFormat="1" applyFont="1" applyFill="1" applyBorder="1" applyAlignment="1">
      <alignment horizontal="right"/>
    </xf>
    <xf numFmtId="178" fontId="43" fillId="6" borderId="13" xfId="1" applyNumberFormat="1" applyFont="1" applyFill="1" applyBorder="1" applyAlignment="1">
      <alignment horizontal="right"/>
    </xf>
    <xf numFmtId="38" fontId="32" fillId="6" borderId="98" xfId="1" applyFont="1" applyFill="1" applyBorder="1" applyAlignment="1">
      <alignment horizontal="right"/>
    </xf>
    <xf numFmtId="38" fontId="32" fillId="6" borderId="72" xfId="1" applyFont="1" applyFill="1" applyBorder="1" applyAlignment="1">
      <alignment horizontal="right"/>
    </xf>
    <xf numFmtId="178" fontId="43" fillId="6" borderId="103" xfId="1" applyNumberFormat="1" applyFont="1" applyFill="1" applyBorder="1" applyAlignment="1">
      <alignment horizontal="right"/>
    </xf>
    <xf numFmtId="178" fontId="43" fillId="6" borderId="68" xfId="1" applyNumberFormat="1" applyFont="1" applyFill="1" applyBorder="1" applyAlignment="1">
      <alignment horizontal="right"/>
    </xf>
    <xf numFmtId="178" fontId="43" fillId="7" borderId="103" xfId="1" applyNumberFormat="1" applyFont="1" applyFill="1" applyBorder="1" applyAlignment="1">
      <alignment horizontal="right"/>
    </xf>
    <xf numFmtId="178" fontId="43" fillId="7" borderId="68" xfId="1" applyNumberFormat="1" applyFont="1" applyFill="1" applyBorder="1" applyAlignment="1">
      <alignment horizontal="right"/>
    </xf>
    <xf numFmtId="181" fontId="43" fillId="0" borderId="103" xfId="1" applyNumberFormat="1" applyFont="1" applyFill="1" applyBorder="1" applyAlignment="1">
      <alignment horizontal="right"/>
    </xf>
    <xf numFmtId="181" fontId="43" fillId="0" borderId="68" xfId="1" applyNumberFormat="1" applyFont="1" applyFill="1" applyBorder="1" applyAlignment="1">
      <alignment horizontal="right"/>
    </xf>
    <xf numFmtId="183" fontId="32" fillId="6" borderId="52" xfId="1" applyNumberFormat="1" applyFont="1" applyFill="1" applyBorder="1" applyAlignment="1">
      <alignment horizontal="right"/>
    </xf>
    <xf numFmtId="38" fontId="35" fillId="6" borderId="82" xfId="1" applyFont="1" applyFill="1" applyBorder="1" applyAlignment="1">
      <alignment horizontal="center" vertical="center"/>
    </xf>
    <xf numFmtId="38" fontId="35" fillId="6" borderId="91" xfId="1" applyFont="1" applyFill="1" applyBorder="1" applyAlignment="1">
      <alignment horizontal="center" vertical="center"/>
    </xf>
    <xf numFmtId="38" fontId="44" fillId="7" borderId="94" xfId="1" applyFont="1" applyFill="1" applyBorder="1" applyAlignment="1">
      <alignment horizontal="right"/>
    </xf>
    <xf numFmtId="38" fontId="44" fillId="7" borderId="68" xfId="1" applyFont="1" applyFill="1" applyBorder="1" applyAlignment="1">
      <alignment horizontal="right"/>
    </xf>
    <xf numFmtId="38" fontId="44" fillId="6" borderId="94" xfId="1" applyFont="1" applyFill="1" applyBorder="1" applyAlignment="1">
      <alignment horizontal="right"/>
    </xf>
    <xf numFmtId="38" fontId="44" fillId="6" borderId="68" xfId="1" applyFont="1" applyFill="1" applyBorder="1" applyAlignment="1">
      <alignment horizontal="right"/>
    </xf>
    <xf numFmtId="180" fontId="43" fillId="6" borderId="52" xfId="2" applyNumberFormat="1" applyFont="1" applyFill="1" applyBorder="1" applyAlignment="1">
      <alignment horizontal="right"/>
    </xf>
    <xf numFmtId="180" fontId="43" fillId="6" borderId="100" xfId="2" applyNumberFormat="1" applyFont="1" applyFill="1" applyBorder="1" applyAlignment="1">
      <alignment horizontal="right"/>
    </xf>
    <xf numFmtId="38" fontId="44" fillId="6" borderId="95" xfId="1" applyFont="1" applyFill="1" applyBorder="1" applyAlignment="1">
      <alignment horizontal="right"/>
    </xf>
    <xf numFmtId="38" fontId="44" fillId="6" borderId="13" xfId="1" applyFont="1" applyFill="1" applyBorder="1" applyAlignment="1">
      <alignment horizontal="right"/>
    </xf>
    <xf numFmtId="9" fontId="43" fillId="6" borderId="98" xfId="2" applyFont="1" applyFill="1" applyBorder="1" applyAlignment="1">
      <alignment horizontal="right"/>
    </xf>
    <xf numFmtId="9" fontId="43" fillId="6" borderId="69" xfId="2" applyFont="1" applyFill="1" applyBorder="1" applyAlignment="1">
      <alignment horizontal="right"/>
    </xf>
    <xf numFmtId="38" fontId="45" fillId="7" borderId="94" xfId="1" applyFont="1" applyFill="1" applyBorder="1" applyAlignment="1">
      <alignment horizontal="right"/>
    </xf>
    <xf numFmtId="38" fontId="53" fillId="0" borderId="72" xfId="1" applyFont="1" applyBorder="1" applyAlignment="1" applyProtection="1">
      <alignment horizontal="left" vertical="center" wrapText="1"/>
      <protection locked="0"/>
    </xf>
    <xf numFmtId="38" fontId="19" fillId="0" borderId="6" xfId="1" applyFont="1" applyBorder="1" applyAlignment="1">
      <alignment horizontal="center" vertical="center"/>
    </xf>
    <xf numFmtId="38" fontId="49" fillId="6" borderId="91" xfId="1" applyFont="1" applyFill="1" applyBorder="1" applyAlignment="1">
      <alignment horizontal="distributed"/>
    </xf>
    <xf numFmtId="38" fontId="49" fillId="6" borderId="15" xfId="1" applyFont="1" applyFill="1" applyBorder="1" applyAlignment="1">
      <alignment horizontal="distributed"/>
    </xf>
    <xf numFmtId="38" fontId="49" fillId="6" borderId="10" xfId="1" applyFont="1" applyFill="1" applyBorder="1" applyAlignment="1">
      <alignment horizontal="distributed"/>
    </xf>
    <xf numFmtId="38" fontId="28" fillId="0" borderId="77" xfId="1" applyFont="1" applyFill="1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9525</xdr:rowOff>
    </xdr:from>
    <xdr:to>
      <xdr:col>5</xdr:col>
      <xdr:colOff>0</xdr:colOff>
      <xdr:row>7</xdr:row>
      <xdr:rowOff>0</xdr:rowOff>
    </xdr:to>
    <xdr:sp macro="" textlink="">
      <xdr:nvSpPr>
        <xdr:cNvPr id="7833" name="Line 28">
          <a:extLst>
            <a:ext uri="{FF2B5EF4-FFF2-40B4-BE49-F238E27FC236}">
              <a16:creationId xmlns:a16="http://schemas.microsoft.com/office/drawing/2014/main" id="{00000000-0008-0000-0000-0000991E0000}"/>
            </a:ext>
          </a:extLst>
        </xdr:cNvPr>
        <xdr:cNvSpPr>
          <a:spLocks noChangeShapeType="1"/>
        </xdr:cNvSpPr>
      </xdr:nvSpPr>
      <xdr:spPr bwMode="auto">
        <a:xfrm>
          <a:off x="3362325" y="1695450"/>
          <a:ext cx="1200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9525</xdr:rowOff>
    </xdr:from>
    <xdr:to>
      <xdr:col>4</xdr:col>
      <xdr:colOff>0</xdr:colOff>
      <xdr:row>12</xdr:row>
      <xdr:rowOff>0</xdr:rowOff>
    </xdr:to>
    <xdr:sp macro="" textlink="">
      <xdr:nvSpPr>
        <xdr:cNvPr id="7834" name="Line 41">
          <a:extLst>
            <a:ext uri="{FF2B5EF4-FFF2-40B4-BE49-F238E27FC236}">
              <a16:creationId xmlns:a16="http://schemas.microsoft.com/office/drawing/2014/main" id="{00000000-0008-0000-0000-00009A1E0000}"/>
            </a:ext>
          </a:extLst>
        </xdr:cNvPr>
        <xdr:cNvSpPr>
          <a:spLocks noChangeShapeType="1"/>
        </xdr:cNvSpPr>
      </xdr:nvSpPr>
      <xdr:spPr bwMode="auto">
        <a:xfrm>
          <a:off x="1962150" y="293370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24</xdr:row>
      <xdr:rowOff>9525</xdr:rowOff>
    </xdr:from>
    <xdr:to>
      <xdr:col>4</xdr:col>
      <xdr:colOff>0</xdr:colOff>
      <xdr:row>25</xdr:row>
      <xdr:rowOff>9525</xdr:rowOff>
    </xdr:to>
    <xdr:sp macro="" textlink="">
      <xdr:nvSpPr>
        <xdr:cNvPr id="7835" name="Line 45">
          <a:extLst>
            <a:ext uri="{FF2B5EF4-FFF2-40B4-BE49-F238E27FC236}">
              <a16:creationId xmlns:a16="http://schemas.microsoft.com/office/drawing/2014/main" id="{00000000-0008-0000-0000-00009B1E0000}"/>
            </a:ext>
          </a:extLst>
        </xdr:cNvPr>
        <xdr:cNvSpPr>
          <a:spLocks noChangeShapeType="1"/>
        </xdr:cNvSpPr>
      </xdr:nvSpPr>
      <xdr:spPr bwMode="auto">
        <a:xfrm>
          <a:off x="1962150" y="417195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9525</xdr:rowOff>
    </xdr:to>
    <xdr:sp macro="" textlink="">
      <xdr:nvSpPr>
        <xdr:cNvPr id="7836" name="Line 46">
          <a:extLst>
            <a:ext uri="{FF2B5EF4-FFF2-40B4-BE49-F238E27FC236}">
              <a16:creationId xmlns:a16="http://schemas.microsoft.com/office/drawing/2014/main" id="{00000000-0008-0000-0000-00009C1E0000}"/>
            </a:ext>
          </a:extLst>
        </xdr:cNvPr>
        <xdr:cNvSpPr>
          <a:spLocks noChangeShapeType="1"/>
        </xdr:cNvSpPr>
      </xdr:nvSpPr>
      <xdr:spPr bwMode="auto">
        <a:xfrm>
          <a:off x="3362325" y="41624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" textlink="">
      <xdr:nvSpPr>
        <xdr:cNvPr id="7837" name="Line 47">
          <a:extLst>
            <a:ext uri="{FF2B5EF4-FFF2-40B4-BE49-F238E27FC236}">
              <a16:creationId xmlns:a16="http://schemas.microsoft.com/office/drawing/2014/main" id="{00000000-0008-0000-0000-00009D1E0000}"/>
            </a:ext>
          </a:extLst>
        </xdr:cNvPr>
        <xdr:cNvSpPr>
          <a:spLocks noChangeShapeType="1"/>
        </xdr:cNvSpPr>
      </xdr:nvSpPr>
      <xdr:spPr bwMode="auto">
        <a:xfrm>
          <a:off x="1371600" y="4657725"/>
          <a:ext cx="5905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7838" name="Line 48">
          <a:extLst>
            <a:ext uri="{FF2B5EF4-FFF2-40B4-BE49-F238E27FC236}">
              <a16:creationId xmlns:a16="http://schemas.microsoft.com/office/drawing/2014/main" id="{00000000-0008-0000-0000-00009E1E0000}"/>
            </a:ext>
          </a:extLst>
        </xdr:cNvPr>
        <xdr:cNvSpPr>
          <a:spLocks noChangeShapeType="1"/>
        </xdr:cNvSpPr>
      </xdr:nvSpPr>
      <xdr:spPr bwMode="auto">
        <a:xfrm>
          <a:off x="1962150" y="46577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7839" name="Line 49">
          <a:extLst>
            <a:ext uri="{FF2B5EF4-FFF2-40B4-BE49-F238E27FC236}">
              <a16:creationId xmlns:a16="http://schemas.microsoft.com/office/drawing/2014/main" id="{00000000-0008-0000-0000-00009F1E0000}"/>
            </a:ext>
          </a:extLst>
        </xdr:cNvPr>
        <xdr:cNvSpPr>
          <a:spLocks noChangeShapeType="1"/>
        </xdr:cNvSpPr>
      </xdr:nvSpPr>
      <xdr:spPr bwMode="auto">
        <a:xfrm>
          <a:off x="1962150" y="490537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1343025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7840" name="Line 50">
          <a:extLst>
            <a:ext uri="{FF2B5EF4-FFF2-40B4-BE49-F238E27FC236}">
              <a16:creationId xmlns:a16="http://schemas.microsoft.com/office/drawing/2014/main" id="{00000000-0008-0000-0000-0000A01E0000}"/>
            </a:ext>
          </a:extLst>
        </xdr:cNvPr>
        <xdr:cNvSpPr>
          <a:spLocks noChangeShapeType="1"/>
        </xdr:cNvSpPr>
      </xdr:nvSpPr>
      <xdr:spPr bwMode="auto">
        <a:xfrm>
          <a:off x="3305175" y="4905375"/>
          <a:ext cx="12573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981075</xdr:colOff>
      <xdr:row>25</xdr:row>
      <xdr:rowOff>266700</xdr:rowOff>
    </xdr:to>
    <xdr:sp macro="" textlink="">
      <xdr:nvSpPr>
        <xdr:cNvPr id="1075" name="テキスト 5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 txBox="1">
          <a:spLocks noChangeArrowheads="1"/>
        </xdr:cNvSpPr>
      </xdr:nvSpPr>
      <xdr:spPr bwMode="auto">
        <a:xfrm>
          <a:off x="1971675" y="4410075"/>
          <a:ext cx="971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明朝"/>
            </a:rPr>
            <a:t>製版単価の</a:t>
          </a:r>
        </a:p>
      </xdr:txBody>
    </xdr:sp>
    <xdr:clientData/>
  </xdr:twoCellAnchor>
  <xdr:twoCellAnchor>
    <xdr:from>
      <xdr:col>3</xdr:col>
      <xdr:colOff>0</xdr:colOff>
      <xdr:row>29</xdr:row>
      <xdr:rowOff>9525</xdr:rowOff>
    </xdr:from>
    <xdr:to>
      <xdr:col>5</xdr:col>
      <xdr:colOff>0</xdr:colOff>
      <xdr:row>31</xdr:row>
      <xdr:rowOff>0</xdr:rowOff>
    </xdr:to>
    <xdr:sp macro="" textlink="">
      <xdr:nvSpPr>
        <xdr:cNvPr id="7851" name="Line 67">
          <a:extLst>
            <a:ext uri="{FF2B5EF4-FFF2-40B4-BE49-F238E27FC236}">
              <a16:creationId xmlns:a16="http://schemas.microsoft.com/office/drawing/2014/main" id="{00000000-0008-0000-0000-0000AB1E0000}"/>
            </a:ext>
          </a:extLst>
        </xdr:cNvPr>
        <xdr:cNvSpPr>
          <a:spLocks noChangeShapeType="1"/>
        </xdr:cNvSpPr>
      </xdr:nvSpPr>
      <xdr:spPr bwMode="auto">
        <a:xfrm>
          <a:off x="1962150" y="7391400"/>
          <a:ext cx="26003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9525</xdr:rowOff>
    </xdr:from>
    <xdr:to>
      <xdr:col>5</xdr:col>
      <xdr:colOff>0</xdr:colOff>
      <xdr:row>30</xdr:row>
      <xdr:rowOff>0</xdr:rowOff>
    </xdr:to>
    <xdr:sp macro="" textlink="">
      <xdr:nvSpPr>
        <xdr:cNvPr id="7852" name="Line 68">
          <a:extLst>
            <a:ext uri="{FF2B5EF4-FFF2-40B4-BE49-F238E27FC236}">
              <a16:creationId xmlns:a16="http://schemas.microsoft.com/office/drawing/2014/main" id="{00000000-0008-0000-0000-0000AC1E0000}"/>
            </a:ext>
          </a:extLst>
        </xdr:cNvPr>
        <xdr:cNvSpPr>
          <a:spLocks noChangeShapeType="1"/>
        </xdr:cNvSpPr>
      </xdr:nvSpPr>
      <xdr:spPr bwMode="auto">
        <a:xfrm>
          <a:off x="3362325" y="7391400"/>
          <a:ext cx="1200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9525</xdr:rowOff>
    </xdr:to>
    <xdr:sp macro="" textlink="">
      <xdr:nvSpPr>
        <xdr:cNvPr id="7853" name="Line 69">
          <a:extLst>
            <a:ext uri="{FF2B5EF4-FFF2-40B4-BE49-F238E27FC236}">
              <a16:creationId xmlns:a16="http://schemas.microsoft.com/office/drawing/2014/main" id="{00000000-0008-0000-0000-0000AD1E0000}"/>
            </a:ext>
          </a:extLst>
        </xdr:cNvPr>
        <xdr:cNvSpPr>
          <a:spLocks noChangeShapeType="1"/>
        </xdr:cNvSpPr>
      </xdr:nvSpPr>
      <xdr:spPr bwMode="auto">
        <a:xfrm>
          <a:off x="1962150" y="762952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323850</xdr:rowOff>
    </xdr:to>
    <xdr:sp macro="" textlink="">
      <xdr:nvSpPr>
        <xdr:cNvPr id="7854" name="Line 70">
          <a:extLst>
            <a:ext uri="{FF2B5EF4-FFF2-40B4-BE49-F238E27FC236}">
              <a16:creationId xmlns:a16="http://schemas.microsoft.com/office/drawing/2014/main" id="{00000000-0008-0000-0000-0000AE1E0000}"/>
            </a:ext>
          </a:extLst>
        </xdr:cNvPr>
        <xdr:cNvSpPr>
          <a:spLocks noChangeShapeType="1"/>
        </xdr:cNvSpPr>
      </xdr:nvSpPr>
      <xdr:spPr bwMode="auto">
        <a:xfrm>
          <a:off x="5648325" y="7877175"/>
          <a:ext cx="12287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7855" name="Line 77">
          <a:extLst>
            <a:ext uri="{FF2B5EF4-FFF2-40B4-BE49-F238E27FC236}">
              <a16:creationId xmlns:a16="http://schemas.microsoft.com/office/drawing/2014/main" id="{00000000-0008-0000-0000-0000AF1E0000}"/>
            </a:ext>
          </a:extLst>
        </xdr:cNvPr>
        <xdr:cNvSpPr>
          <a:spLocks noChangeShapeType="1"/>
        </xdr:cNvSpPr>
      </xdr:nvSpPr>
      <xdr:spPr bwMode="auto">
        <a:xfrm>
          <a:off x="8324850" y="4410075"/>
          <a:ext cx="9144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26</xdr:row>
      <xdr:rowOff>9525</xdr:rowOff>
    </xdr:to>
    <xdr:sp macro="" textlink="">
      <xdr:nvSpPr>
        <xdr:cNvPr id="7856" name="Line 79">
          <a:extLst>
            <a:ext uri="{FF2B5EF4-FFF2-40B4-BE49-F238E27FC236}">
              <a16:creationId xmlns:a16="http://schemas.microsoft.com/office/drawing/2014/main" id="{00000000-0008-0000-0000-0000B01E0000}"/>
            </a:ext>
          </a:extLst>
        </xdr:cNvPr>
        <xdr:cNvSpPr>
          <a:spLocks noChangeShapeType="1"/>
        </xdr:cNvSpPr>
      </xdr:nvSpPr>
      <xdr:spPr bwMode="auto">
        <a:xfrm>
          <a:off x="9248775" y="4410075"/>
          <a:ext cx="14382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24</xdr:row>
      <xdr:rowOff>0</xdr:rowOff>
    </xdr:from>
    <xdr:to>
      <xdr:col>12</xdr:col>
      <xdr:colOff>0</xdr:colOff>
      <xdr:row>25</xdr:row>
      <xdr:rowOff>9525</xdr:rowOff>
    </xdr:to>
    <xdr:sp macro="" textlink="">
      <xdr:nvSpPr>
        <xdr:cNvPr id="7857" name="Line 80">
          <a:extLst>
            <a:ext uri="{FF2B5EF4-FFF2-40B4-BE49-F238E27FC236}">
              <a16:creationId xmlns:a16="http://schemas.microsoft.com/office/drawing/2014/main" id="{00000000-0008-0000-0000-0000B11E0000}"/>
            </a:ext>
          </a:extLst>
        </xdr:cNvPr>
        <xdr:cNvSpPr>
          <a:spLocks noChangeShapeType="1"/>
        </xdr:cNvSpPr>
      </xdr:nvSpPr>
      <xdr:spPr bwMode="auto">
        <a:xfrm>
          <a:off x="12144375" y="4162425"/>
          <a:ext cx="1266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25</xdr:row>
      <xdr:rowOff>9525</xdr:rowOff>
    </xdr:from>
    <xdr:to>
      <xdr:col>12</xdr:col>
      <xdr:colOff>0</xdr:colOff>
      <xdr:row>25</xdr:row>
      <xdr:rowOff>323850</xdr:rowOff>
    </xdr:to>
    <xdr:sp macro="" textlink="">
      <xdr:nvSpPr>
        <xdr:cNvPr id="7858" name="Line 81">
          <a:extLst>
            <a:ext uri="{FF2B5EF4-FFF2-40B4-BE49-F238E27FC236}">
              <a16:creationId xmlns:a16="http://schemas.microsoft.com/office/drawing/2014/main" id="{00000000-0008-0000-0000-0000B21E0000}"/>
            </a:ext>
          </a:extLst>
        </xdr:cNvPr>
        <xdr:cNvSpPr>
          <a:spLocks noChangeShapeType="1"/>
        </xdr:cNvSpPr>
      </xdr:nvSpPr>
      <xdr:spPr bwMode="auto">
        <a:xfrm>
          <a:off x="12144375" y="4419600"/>
          <a:ext cx="12668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1447800</xdr:colOff>
      <xdr:row>30</xdr:row>
      <xdr:rowOff>0</xdr:rowOff>
    </xdr:from>
    <xdr:to>
      <xdr:col>8</xdr:col>
      <xdr:colOff>1000125</xdr:colOff>
      <xdr:row>31</xdr:row>
      <xdr:rowOff>9525</xdr:rowOff>
    </xdr:to>
    <xdr:sp macro="" textlink="">
      <xdr:nvSpPr>
        <xdr:cNvPr id="7864" name="Line 89">
          <a:extLst>
            <a:ext uri="{FF2B5EF4-FFF2-40B4-BE49-F238E27FC236}">
              <a16:creationId xmlns:a16="http://schemas.microsoft.com/office/drawing/2014/main" id="{00000000-0008-0000-0000-0000B81E0000}"/>
            </a:ext>
          </a:extLst>
        </xdr:cNvPr>
        <xdr:cNvSpPr>
          <a:spLocks noChangeShapeType="1"/>
        </xdr:cNvSpPr>
      </xdr:nvSpPr>
      <xdr:spPr bwMode="auto">
        <a:xfrm>
          <a:off x="8324850" y="7629525"/>
          <a:ext cx="91440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7865" name="Line 90">
          <a:extLst>
            <a:ext uri="{FF2B5EF4-FFF2-40B4-BE49-F238E27FC236}">
              <a16:creationId xmlns:a16="http://schemas.microsoft.com/office/drawing/2014/main" id="{00000000-0008-0000-0000-0000B91E0000}"/>
            </a:ext>
          </a:extLst>
        </xdr:cNvPr>
        <xdr:cNvSpPr>
          <a:spLocks noChangeShapeType="1"/>
        </xdr:cNvSpPr>
      </xdr:nvSpPr>
      <xdr:spPr bwMode="auto">
        <a:xfrm>
          <a:off x="8324850" y="7877175"/>
          <a:ext cx="9239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31</xdr:row>
      <xdr:rowOff>9525</xdr:rowOff>
    </xdr:from>
    <xdr:to>
      <xdr:col>10</xdr:col>
      <xdr:colOff>0</xdr:colOff>
      <xdr:row>32</xdr:row>
      <xdr:rowOff>0</xdr:rowOff>
    </xdr:to>
    <xdr:sp macro="" textlink="">
      <xdr:nvSpPr>
        <xdr:cNvPr id="7866" name="Line 91">
          <a:extLst>
            <a:ext uri="{FF2B5EF4-FFF2-40B4-BE49-F238E27FC236}">
              <a16:creationId xmlns:a16="http://schemas.microsoft.com/office/drawing/2014/main" id="{00000000-0008-0000-0000-0000BA1E0000}"/>
            </a:ext>
          </a:extLst>
        </xdr:cNvPr>
        <xdr:cNvSpPr>
          <a:spLocks noChangeShapeType="1"/>
        </xdr:cNvSpPr>
      </xdr:nvSpPr>
      <xdr:spPr bwMode="auto">
        <a:xfrm>
          <a:off x="9248775" y="7886700"/>
          <a:ext cx="14382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323850</xdr:rowOff>
    </xdr:to>
    <xdr:sp macro="" textlink="">
      <xdr:nvSpPr>
        <xdr:cNvPr id="7867" name="Line 92">
          <a:extLst>
            <a:ext uri="{FF2B5EF4-FFF2-40B4-BE49-F238E27FC236}">
              <a16:creationId xmlns:a16="http://schemas.microsoft.com/office/drawing/2014/main" id="{00000000-0008-0000-0000-0000BB1E0000}"/>
            </a:ext>
          </a:extLst>
        </xdr:cNvPr>
        <xdr:cNvSpPr>
          <a:spLocks noChangeShapeType="1"/>
        </xdr:cNvSpPr>
      </xdr:nvSpPr>
      <xdr:spPr bwMode="auto">
        <a:xfrm>
          <a:off x="12134850" y="7877175"/>
          <a:ext cx="12858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30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7868" name="Line 93">
          <a:extLst>
            <a:ext uri="{FF2B5EF4-FFF2-40B4-BE49-F238E27FC236}">
              <a16:creationId xmlns:a16="http://schemas.microsoft.com/office/drawing/2014/main" id="{00000000-0008-0000-0000-0000BC1E0000}"/>
            </a:ext>
          </a:extLst>
        </xdr:cNvPr>
        <xdr:cNvSpPr>
          <a:spLocks noChangeShapeType="1"/>
        </xdr:cNvSpPr>
      </xdr:nvSpPr>
      <xdr:spPr bwMode="auto">
        <a:xfrm>
          <a:off x="12144375" y="7629525"/>
          <a:ext cx="12668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29</xdr:row>
      <xdr:rowOff>9525</xdr:rowOff>
    </xdr:from>
    <xdr:to>
      <xdr:col>12</xdr:col>
      <xdr:colOff>0</xdr:colOff>
      <xdr:row>30</xdr:row>
      <xdr:rowOff>0</xdr:rowOff>
    </xdr:to>
    <xdr:sp macro="" textlink="">
      <xdr:nvSpPr>
        <xdr:cNvPr id="7869" name="Line 94">
          <a:extLst>
            <a:ext uri="{FF2B5EF4-FFF2-40B4-BE49-F238E27FC236}">
              <a16:creationId xmlns:a16="http://schemas.microsoft.com/office/drawing/2014/main" id="{00000000-0008-0000-0000-0000BD1E0000}"/>
            </a:ext>
          </a:extLst>
        </xdr:cNvPr>
        <xdr:cNvSpPr>
          <a:spLocks noChangeShapeType="1"/>
        </xdr:cNvSpPr>
      </xdr:nvSpPr>
      <xdr:spPr bwMode="auto">
        <a:xfrm>
          <a:off x="12134850" y="7391400"/>
          <a:ext cx="12763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17</xdr:row>
      <xdr:rowOff>323850</xdr:rowOff>
    </xdr:from>
    <xdr:to>
      <xdr:col>3</xdr:col>
      <xdr:colOff>9525</xdr:colOff>
      <xdr:row>18</xdr:row>
      <xdr:rowOff>323850</xdr:rowOff>
    </xdr:to>
    <xdr:sp macro="" textlink="">
      <xdr:nvSpPr>
        <xdr:cNvPr id="7871" name="Line 110">
          <a:extLst>
            <a:ext uri="{FF2B5EF4-FFF2-40B4-BE49-F238E27FC236}">
              <a16:creationId xmlns:a16="http://schemas.microsoft.com/office/drawing/2014/main" id="{00000000-0008-0000-0000-0000BF1E0000}"/>
            </a:ext>
          </a:extLst>
        </xdr:cNvPr>
        <xdr:cNvSpPr>
          <a:spLocks noChangeShapeType="1"/>
        </xdr:cNvSpPr>
      </xdr:nvSpPr>
      <xdr:spPr bwMode="auto">
        <a:xfrm>
          <a:off x="1381125" y="11839575"/>
          <a:ext cx="5905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17</xdr:row>
      <xdr:rowOff>9525</xdr:rowOff>
    </xdr:from>
    <xdr:to>
      <xdr:col>4</xdr:col>
      <xdr:colOff>0</xdr:colOff>
      <xdr:row>18</xdr:row>
      <xdr:rowOff>0</xdr:rowOff>
    </xdr:to>
    <xdr:sp macro="" textlink="">
      <xdr:nvSpPr>
        <xdr:cNvPr id="7872" name="Line 113">
          <a:extLst>
            <a:ext uri="{FF2B5EF4-FFF2-40B4-BE49-F238E27FC236}">
              <a16:creationId xmlns:a16="http://schemas.microsoft.com/office/drawing/2014/main" id="{00000000-0008-0000-0000-0000C01E0000}"/>
            </a:ext>
          </a:extLst>
        </xdr:cNvPr>
        <xdr:cNvSpPr>
          <a:spLocks noChangeShapeType="1"/>
        </xdr:cNvSpPr>
      </xdr:nvSpPr>
      <xdr:spPr bwMode="auto">
        <a:xfrm>
          <a:off x="1962150" y="1160145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9525</xdr:rowOff>
    </xdr:from>
    <xdr:to>
      <xdr:col>4</xdr:col>
      <xdr:colOff>0</xdr:colOff>
      <xdr:row>18</xdr:row>
      <xdr:rowOff>323850</xdr:rowOff>
    </xdr:to>
    <xdr:sp macro="" textlink="">
      <xdr:nvSpPr>
        <xdr:cNvPr id="7873" name="Line 115">
          <a:extLst>
            <a:ext uri="{FF2B5EF4-FFF2-40B4-BE49-F238E27FC236}">
              <a16:creationId xmlns:a16="http://schemas.microsoft.com/office/drawing/2014/main" id="{00000000-0008-0000-0000-0000C11E0000}"/>
            </a:ext>
          </a:extLst>
        </xdr:cNvPr>
        <xdr:cNvSpPr>
          <a:spLocks noChangeShapeType="1"/>
        </xdr:cNvSpPr>
      </xdr:nvSpPr>
      <xdr:spPr bwMode="auto">
        <a:xfrm>
          <a:off x="1962150" y="1184910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33</xdr:row>
      <xdr:rowOff>0</xdr:rowOff>
    </xdr:from>
    <xdr:to>
      <xdr:col>4</xdr:col>
      <xdr:colOff>0</xdr:colOff>
      <xdr:row>34</xdr:row>
      <xdr:rowOff>9525</xdr:rowOff>
    </xdr:to>
    <xdr:sp macro="" textlink="">
      <xdr:nvSpPr>
        <xdr:cNvPr id="7885" name="Line 135">
          <a:extLst>
            <a:ext uri="{FF2B5EF4-FFF2-40B4-BE49-F238E27FC236}">
              <a16:creationId xmlns:a16="http://schemas.microsoft.com/office/drawing/2014/main" id="{00000000-0008-0000-0000-0000CD1E0000}"/>
            </a:ext>
          </a:extLst>
        </xdr:cNvPr>
        <xdr:cNvSpPr>
          <a:spLocks noChangeShapeType="1"/>
        </xdr:cNvSpPr>
      </xdr:nvSpPr>
      <xdr:spPr bwMode="auto">
        <a:xfrm>
          <a:off x="1962150" y="83724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7886" name="Line 136">
          <a:extLst>
            <a:ext uri="{FF2B5EF4-FFF2-40B4-BE49-F238E27FC236}">
              <a16:creationId xmlns:a16="http://schemas.microsoft.com/office/drawing/2014/main" id="{00000000-0008-0000-0000-0000CE1E0000}"/>
            </a:ext>
          </a:extLst>
        </xdr:cNvPr>
        <xdr:cNvSpPr>
          <a:spLocks noChangeShapeType="1"/>
        </xdr:cNvSpPr>
      </xdr:nvSpPr>
      <xdr:spPr bwMode="auto">
        <a:xfrm>
          <a:off x="1962150" y="86201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33</xdr:row>
      <xdr:rowOff>9525</xdr:rowOff>
    </xdr:from>
    <xdr:to>
      <xdr:col>5</xdr:col>
      <xdr:colOff>0</xdr:colOff>
      <xdr:row>34</xdr:row>
      <xdr:rowOff>9525</xdr:rowOff>
    </xdr:to>
    <xdr:sp macro="" textlink="">
      <xdr:nvSpPr>
        <xdr:cNvPr id="7887" name="Line 137">
          <a:extLst>
            <a:ext uri="{FF2B5EF4-FFF2-40B4-BE49-F238E27FC236}">
              <a16:creationId xmlns:a16="http://schemas.microsoft.com/office/drawing/2014/main" id="{00000000-0008-0000-0000-0000CF1E0000}"/>
            </a:ext>
          </a:extLst>
        </xdr:cNvPr>
        <xdr:cNvSpPr>
          <a:spLocks noChangeShapeType="1"/>
        </xdr:cNvSpPr>
      </xdr:nvSpPr>
      <xdr:spPr bwMode="auto">
        <a:xfrm>
          <a:off x="3362325" y="83820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34</xdr:row>
      <xdr:rowOff>0</xdr:rowOff>
    </xdr:from>
    <xdr:to>
      <xdr:col>4</xdr:col>
      <xdr:colOff>1190625</xdr:colOff>
      <xdr:row>35</xdr:row>
      <xdr:rowOff>9525</xdr:rowOff>
    </xdr:to>
    <xdr:sp macro="" textlink="">
      <xdr:nvSpPr>
        <xdr:cNvPr id="7888" name="Line 138">
          <a:extLst>
            <a:ext uri="{FF2B5EF4-FFF2-40B4-BE49-F238E27FC236}">
              <a16:creationId xmlns:a16="http://schemas.microsoft.com/office/drawing/2014/main" id="{00000000-0008-0000-0000-0000D01E0000}"/>
            </a:ext>
          </a:extLst>
        </xdr:cNvPr>
        <xdr:cNvSpPr>
          <a:spLocks noChangeShapeType="1"/>
        </xdr:cNvSpPr>
      </xdr:nvSpPr>
      <xdr:spPr bwMode="auto">
        <a:xfrm>
          <a:off x="3352800" y="86201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37</xdr:row>
      <xdr:rowOff>9525</xdr:rowOff>
    </xdr:from>
    <xdr:to>
      <xdr:col>3</xdr:col>
      <xdr:colOff>1390650</xdr:colOff>
      <xdr:row>38</xdr:row>
      <xdr:rowOff>0</xdr:rowOff>
    </xdr:to>
    <xdr:sp macro="" textlink="">
      <xdr:nvSpPr>
        <xdr:cNvPr id="7889" name="Line 139">
          <a:extLst>
            <a:ext uri="{FF2B5EF4-FFF2-40B4-BE49-F238E27FC236}">
              <a16:creationId xmlns:a16="http://schemas.microsoft.com/office/drawing/2014/main" id="{00000000-0008-0000-0000-0000D11E0000}"/>
            </a:ext>
          </a:extLst>
        </xdr:cNvPr>
        <xdr:cNvSpPr>
          <a:spLocks noChangeShapeType="1"/>
        </xdr:cNvSpPr>
      </xdr:nvSpPr>
      <xdr:spPr bwMode="auto">
        <a:xfrm>
          <a:off x="1971675" y="93726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3</xdr:col>
      <xdr:colOff>1390650</xdr:colOff>
      <xdr:row>38</xdr:row>
      <xdr:rowOff>266700</xdr:rowOff>
    </xdr:to>
    <xdr:sp macro="" textlink="">
      <xdr:nvSpPr>
        <xdr:cNvPr id="7890" name="Line 140">
          <a:extLst>
            <a:ext uri="{FF2B5EF4-FFF2-40B4-BE49-F238E27FC236}">
              <a16:creationId xmlns:a16="http://schemas.microsoft.com/office/drawing/2014/main" id="{00000000-0008-0000-0000-0000D21E0000}"/>
            </a:ext>
          </a:extLst>
        </xdr:cNvPr>
        <xdr:cNvSpPr>
          <a:spLocks noChangeShapeType="1"/>
        </xdr:cNvSpPr>
      </xdr:nvSpPr>
      <xdr:spPr bwMode="auto">
        <a:xfrm>
          <a:off x="1962150" y="96107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19050</xdr:rowOff>
    </xdr:from>
    <xdr:to>
      <xdr:col>4</xdr:col>
      <xdr:colOff>1190625</xdr:colOff>
      <xdr:row>38</xdr:row>
      <xdr:rowOff>9525</xdr:rowOff>
    </xdr:to>
    <xdr:sp macro="" textlink="">
      <xdr:nvSpPr>
        <xdr:cNvPr id="7891" name="Line 141">
          <a:extLst>
            <a:ext uri="{FF2B5EF4-FFF2-40B4-BE49-F238E27FC236}">
              <a16:creationId xmlns:a16="http://schemas.microsoft.com/office/drawing/2014/main" id="{00000000-0008-0000-0000-0000D31E0000}"/>
            </a:ext>
          </a:extLst>
        </xdr:cNvPr>
        <xdr:cNvSpPr>
          <a:spLocks noChangeShapeType="1"/>
        </xdr:cNvSpPr>
      </xdr:nvSpPr>
      <xdr:spPr bwMode="auto">
        <a:xfrm>
          <a:off x="3362325" y="93821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9525</xdr:rowOff>
    </xdr:from>
    <xdr:to>
      <xdr:col>5</xdr:col>
      <xdr:colOff>9525</xdr:colOff>
      <xdr:row>39</xdr:row>
      <xdr:rowOff>0</xdr:rowOff>
    </xdr:to>
    <xdr:sp macro="" textlink="">
      <xdr:nvSpPr>
        <xdr:cNvPr id="7892" name="Line 142">
          <a:extLst>
            <a:ext uri="{FF2B5EF4-FFF2-40B4-BE49-F238E27FC236}">
              <a16:creationId xmlns:a16="http://schemas.microsoft.com/office/drawing/2014/main" id="{00000000-0008-0000-0000-0000D41E0000}"/>
            </a:ext>
          </a:extLst>
        </xdr:cNvPr>
        <xdr:cNvSpPr>
          <a:spLocks noChangeShapeType="1"/>
        </xdr:cNvSpPr>
      </xdr:nvSpPr>
      <xdr:spPr bwMode="auto">
        <a:xfrm>
          <a:off x="3362325" y="96202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9525</xdr:rowOff>
    </xdr:from>
    <xdr:to>
      <xdr:col>4</xdr:col>
      <xdr:colOff>0</xdr:colOff>
      <xdr:row>42</xdr:row>
      <xdr:rowOff>9525</xdr:rowOff>
    </xdr:to>
    <xdr:sp macro="" textlink="">
      <xdr:nvSpPr>
        <xdr:cNvPr id="7893" name="Line 143">
          <a:extLst>
            <a:ext uri="{FF2B5EF4-FFF2-40B4-BE49-F238E27FC236}">
              <a16:creationId xmlns:a16="http://schemas.microsoft.com/office/drawing/2014/main" id="{00000000-0008-0000-0000-0000D51E0000}"/>
            </a:ext>
          </a:extLst>
        </xdr:cNvPr>
        <xdr:cNvSpPr>
          <a:spLocks noChangeShapeType="1"/>
        </xdr:cNvSpPr>
      </xdr:nvSpPr>
      <xdr:spPr bwMode="auto">
        <a:xfrm>
          <a:off x="1962150" y="103632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9525</xdr:rowOff>
    </xdr:from>
    <xdr:to>
      <xdr:col>4</xdr:col>
      <xdr:colOff>1190625</xdr:colOff>
      <xdr:row>41</xdr:row>
      <xdr:rowOff>266700</xdr:rowOff>
    </xdr:to>
    <xdr:sp macro="" textlink="">
      <xdr:nvSpPr>
        <xdr:cNvPr id="7894" name="Line 144">
          <a:extLst>
            <a:ext uri="{FF2B5EF4-FFF2-40B4-BE49-F238E27FC236}">
              <a16:creationId xmlns:a16="http://schemas.microsoft.com/office/drawing/2014/main" id="{00000000-0008-0000-0000-0000D61E0000}"/>
            </a:ext>
          </a:extLst>
        </xdr:cNvPr>
        <xdr:cNvSpPr>
          <a:spLocks noChangeShapeType="1"/>
        </xdr:cNvSpPr>
      </xdr:nvSpPr>
      <xdr:spPr bwMode="auto">
        <a:xfrm>
          <a:off x="3371850" y="103632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42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7895" name="Line 145">
          <a:extLst>
            <a:ext uri="{FF2B5EF4-FFF2-40B4-BE49-F238E27FC236}">
              <a16:creationId xmlns:a16="http://schemas.microsoft.com/office/drawing/2014/main" id="{00000000-0008-0000-0000-0000D71E0000}"/>
            </a:ext>
          </a:extLst>
        </xdr:cNvPr>
        <xdr:cNvSpPr>
          <a:spLocks noChangeShapeType="1"/>
        </xdr:cNvSpPr>
      </xdr:nvSpPr>
      <xdr:spPr bwMode="auto">
        <a:xfrm>
          <a:off x="1952625" y="106013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43</xdr:row>
      <xdr:rowOff>9525</xdr:rowOff>
    </xdr:to>
    <xdr:sp macro="" textlink="">
      <xdr:nvSpPr>
        <xdr:cNvPr id="7896" name="Line 146">
          <a:extLst>
            <a:ext uri="{FF2B5EF4-FFF2-40B4-BE49-F238E27FC236}">
              <a16:creationId xmlns:a16="http://schemas.microsoft.com/office/drawing/2014/main" id="{00000000-0008-0000-0000-0000D81E0000}"/>
            </a:ext>
          </a:extLst>
        </xdr:cNvPr>
        <xdr:cNvSpPr>
          <a:spLocks noChangeShapeType="1"/>
        </xdr:cNvSpPr>
      </xdr:nvSpPr>
      <xdr:spPr bwMode="auto">
        <a:xfrm>
          <a:off x="3371850" y="106013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34</xdr:row>
      <xdr:rowOff>266700</xdr:rowOff>
    </xdr:from>
    <xdr:to>
      <xdr:col>7</xdr:col>
      <xdr:colOff>0</xdr:colOff>
      <xdr:row>36</xdr:row>
      <xdr:rowOff>19050</xdr:rowOff>
    </xdr:to>
    <xdr:sp macro="" textlink="">
      <xdr:nvSpPr>
        <xdr:cNvPr id="7897" name="Line 147">
          <a:extLst>
            <a:ext uri="{FF2B5EF4-FFF2-40B4-BE49-F238E27FC236}">
              <a16:creationId xmlns:a16="http://schemas.microsoft.com/office/drawing/2014/main" id="{00000000-0008-0000-0000-0000D91E0000}"/>
            </a:ext>
          </a:extLst>
        </xdr:cNvPr>
        <xdr:cNvSpPr>
          <a:spLocks noChangeShapeType="1"/>
        </xdr:cNvSpPr>
      </xdr:nvSpPr>
      <xdr:spPr bwMode="auto">
        <a:xfrm>
          <a:off x="5638800" y="88677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39</xdr:row>
      <xdr:rowOff>9525</xdr:rowOff>
    </xdr:from>
    <xdr:to>
      <xdr:col>7</xdr:col>
      <xdr:colOff>9525</xdr:colOff>
      <xdr:row>40</xdr:row>
      <xdr:rowOff>0</xdr:rowOff>
    </xdr:to>
    <xdr:sp macro="" textlink="">
      <xdr:nvSpPr>
        <xdr:cNvPr id="7898" name="Line 148">
          <a:extLst>
            <a:ext uri="{FF2B5EF4-FFF2-40B4-BE49-F238E27FC236}">
              <a16:creationId xmlns:a16="http://schemas.microsoft.com/office/drawing/2014/main" id="{00000000-0008-0000-0000-0000DA1E0000}"/>
            </a:ext>
          </a:extLst>
        </xdr:cNvPr>
        <xdr:cNvSpPr>
          <a:spLocks noChangeShapeType="1"/>
        </xdr:cNvSpPr>
      </xdr:nvSpPr>
      <xdr:spPr bwMode="auto">
        <a:xfrm>
          <a:off x="5648325" y="98679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43</xdr:row>
      <xdr:rowOff>0</xdr:rowOff>
    </xdr:from>
    <xdr:to>
      <xdr:col>7</xdr:col>
      <xdr:colOff>0</xdr:colOff>
      <xdr:row>44</xdr:row>
      <xdr:rowOff>9525</xdr:rowOff>
    </xdr:to>
    <xdr:sp macro="" textlink="">
      <xdr:nvSpPr>
        <xdr:cNvPr id="7899" name="Line 149">
          <a:extLst>
            <a:ext uri="{FF2B5EF4-FFF2-40B4-BE49-F238E27FC236}">
              <a16:creationId xmlns:a16="http://schemas.microsoft.com/office/drawing/2014/main" id="{00000000-0008-0000-0000-0000DB1E0000}"/>
            </a:ext>
          </a:extLst>
        </xdr:cNvPr>
        <xdr:cNvSpPr>
          <a:spLocks noChangeShapeType="1"/>
        </xdr:cNvSpPr>
      </xdr:nvSpPr>
      <xdr:spPr bwMode="auto">
        <a:xfrm>
          <a:off x="5629275" y="108489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12</xdr:col>
      <xdr:colOff>0</xdr:colOff>
      <xdr:row>34</xdr:row>
      <xdr:rowOff>9525</xdr:rowOff>
    </xdr:to>
    <xdr:sp macro="" textlink="">
      <xdr:nvSpPr>
        <xdr:cNvPr id="7900" name="Line 150">
          <a:extLst>
            <a:ext uri="{FF2B5EF4-FFF2-40B4-BE49-F238E27FC236}">
              <a16:creationId xmlns:a16="http://schemas.microsoft.com/office/drawing/2014/main" id="{00000000-0008-0000-0000-0000DC1E0000}"/>
            </a:ext>
          </a:extLst>
        </xdr:cNvPr>
        <xdr:cNvSpPr>
          <a:spLocks noChangeShapeType="1"/>
        </xdr:cNvSpPr>
      </xdr:nvSpPr>
      <xdr:spPr bwMode="auto">
        <a:xfrm>
          <a:off x="12134850" y="8372475"/>
          <a:ext cx="12763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7901" name="Line 151">
          <a:extLst>
            <a:ext uri="{FF2B5EF4-FFF2-40B4-BE49-F238E27FC236}">
              <a16:creationId xmlns:a16="http://schemas.microsoft.com/office/drawing/2014/main" id="{00000000-0008-0000-0000-0000DD1E0000}"/>
            </a:ext>
          </a:extLst>
        </xdr:cNvPr>
        <xdr:cNvSpPr>
          <a:spLocks noChangeShapeType="1"/>
        </xdr:cNvSpPr>
      </xdr:nvSpPr>
      <xdr:spPr bwMode="auto">
        <a:xfrm>
          <a:off x="12144375" y="9363075"/>
          <a:ext cx="12668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9525</xdr:rowOff>
    </xdr:from>
    <xdr:to>
      <xdr:col>12</xdr:col>
      <xdr:colOff>0</xdr:colOff>
      <xdr:row>42</xdr:row>
      <xdr:rowOff>0</xdr:rowOff>
    </xdr:to>
    <xdr:sp macro="" textlink="">
      <xdr:nvSpPr>
        <xdr:cNvPr id="7902" name="Line 152">
          <a:extLst>
            <a:ext uri="{FF2B5EF4-FFF2-40B4-BE49-F238E27FC236}">
              <a16:creationId xmlns:a16="http://schemas.microsoft.com/office/drawing/2014/main" id="{00000000-0008-0000-0000-0000DE1E0000}"/>
            </a:ext>
          </a:extLst>
        </xdr:cNvPr>
        <xdr:cNvSpPr>
          <a:spLocks noChangeShapeType="1"/>
        </xdr:cNvSpPr>
      </xdr:nvSpPr>
      <xdr:spPr bwMode="auto">
        <a:xfrm>
          <a:off x="12144375" y="10363200"/>
          <a:ext cx="12668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819150</xdr:colOff>
      <xdr:row>13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1182" name="テキスト 158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4181475" y="3419475"/>
          <a:ext cx="38100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標準ゴシック"/>
              <a:ea typeface="標準ゴシック"/>
            </a:rPr>
            <a:t>％</a:t>
          </a:r>
        </a:p>
      </xdr:txBody>
    </xdr:sp>
    <xdr:clientData/>
  </xdr:twoCellAnchor>
  <xdr:twoCellAnchor>
    <xdr:from>
      <xdr:col>4</xdr:col>
      <xdr:colOff>0</xdr:colOff>
      <xdr:row>16</xdr:row>
      <xdr:rowOff>9525</xdr:rowOff>
    </xdr:from>
    <xdr:to>
      <xdr:col>4</xdr:col>
      <xdr:colOff>1190625</xdr:colOff>
      <xdr:row>17</xdr:row>
      <xdr:rowOff>0</xdr:rowOff>
    </xdr:to>
    <xdr:sp macro="" textlink="">
      <xdr:nvSpPr>
        <xdr:cNvPr id="7907" name="Line 161">
          <a:extLst>
            <a:ext uri="{FF2B5EF4-FFF2-40B4-BE49-F238E27FC236}">
              <a16:creationId xmlns:a16="http://schemas.microsoft.com/office/drawing/2014/main" id="{00000000-0008-0000-0000-0000E31E0000}"/>
            </a:ext>
          </a:extLst>
        </xdr:cNvPr>
        <xdr:cNvSpPr>
          <a:spLocks noChangeShapeType="1"/>
        </xdr:cNvSpPr>
      </xdr:nvSpPr>
      <xdr:spPr bwMode="auto">
        <a:xfrm>
          <a:off x="3362325" y="11353800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19</xdr:row>
      <xdr:rowOff>0</xdr:rowOff>
    </xdr:from>
    <xdr:to>
      <xdr:col>5</xdr:col>
      <xdr:colOff>0</xdr:colOff>
      <xdr:row>20</xdr:row>
      <xdr:rowOff>0</xdr:rowOff>
    </xdr:to>
    <xdr:sp macro="" textlink="">
      <xdr:nvSpPr>
        <xdr:cNvPr id="1188" name="テキスト 164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3743325" y="12087225"/>
          <a:ext cx="8191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標準ゴシック"/>
              <a:ea typeface="標準ゴシック"/>
            </a:rPr>
            <a:t>％</a:t>
          </a:r>
        </a:p>
        <a:p>
          <a:pPr algn="l" rtl="0">
            <a:lnSpc>
              <a:spcPts val="2200"/>
            </a:lnSpc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標準ゴシック"/>
            <a:ea typeface="標準ゴシック"/>
          </a:endParaRPr>
        </a:p>
      </xdr:txBody>
    </xdr:sp>
    <xdr:clientData/>
  </xdr:twoCellAnchor>
  <xdr:twoCellAnchor>
    <xdr:from>
      <xdr:col>19</xdr:col>
      <xdr:colOff>752475</xdr:colOff>
      <xdr:row>2</xdr:row>
      <xdr:rowOff>333375</xdr:rowOff>
    </xdr:from>
    <xdr:to>
      <xdr:col>24</xdr:col>
      <xdr:colOff>762000</xdr:colOff>
      <xdr:row>2</xdr:row>
      <xdr:rowOff>342900</xdr:rowOff>
    </xdr:to>
    <xdr:sp macro="" textlink="">
      <xdr:nvSpPr>
        <xdr:cNvPr id="78" name="Line 25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V="1">
          <a:off x="20888325" y="1209675"/>
          <a:ext cx="7639050" cy="9525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657225</xdr:colOff>
      <xdr:row>2</xdr:row>
      <xdr:rowOff>342900</xdr:rowOff>
    </xdr:from>
    <xdr:to>
      <xdr:col>18</xdr:col>
      <xdr:colOff>895350</xdr:colOff>
      <xdr:row>2</xdr:row>
      <xdr:rowOff>342900</xdr:rowOff>
    </xdr:to>
    <xdr:sp macro="" textlink="">
      <xdr:nvSpPr>
        <xdr:cNvPr id="79" name="Line 134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6296025" y="1219200"/>
          <a:ext cx="13287375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38</xdr:row>
      <xdr:rowOff>9525</xdr:rowOff>
    </xdr:to>
    <xdr:sp macro="" textlink="">
      <xdr:nvSpPr>
        <xdr:cNvPr id="80" name="Line 13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>
          <a:off x="1962150" y="89058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81" name="Line 13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>
          <a:off x="1962150" y="91535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9525</xdr:rowOff>
    </xdr:from>
    <xdr:to>
      <xdr:col>5</xdr:col>
      <xdr:colOff>0</xdr:colOff>
      <xdr:row>38</xdr:row>
      <xdr:rowOff>9525</xdr:rowOff>
    </xdr:to>
    <xdr:sp macro="" textlink="">
      <xdr:nvSpPr>
        <xdr:cNvPr id="82" name="Line 13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>
          <a:off x="3362325" y="89154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38</xdr:row>
      <xdr:rowOff>0</xdr:rowOff>
    </xdr:from>
    <xdr:to>
      <xdr:col>4</xdr:col>
      <xdr:colOff>1190625</xdr:colOff>
      <xdr:row>39</xdr:row>
      <xdr:rowOff>9525</xdr:rowOff>
    </xdr:to>
    <xdr:sp macro="" textlink="">
      <xdr:nvSpPr>
        <xdr:cNvPr id="83" name="Line 138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>
          <a:off x="3352800" y="9153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38</xdr:row>
      <xdr:rowOff>266700</xdr:rowOff>
    </xdr:from>
    <xdr:to>
      <xdr:col>7</xdr:col>
      <xdr:colOff>0</xdr:colOff>
      <xdr:row>40</xdr:row>
      <xdr:rowOff>19050</xdr:rowOff>
    </xdr:to>
    <xdr:sp macro="" textlink="">
      <xdr:nvSpPr>
        <xdr:cNvPr id="84" name="Line 147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>
          <a:off x="5638800" y="9401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38</xdr:row>
      <xdr:rowOff>9525</xdr:rowOff>
    </xdr:to>
    <xdr:sp macro="" textlink="">
      <xdr:nvSpPr>
        <xdr:cNvPr id="85" name="Line 15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>
          <a:off x="12392025" y="89058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41</xdr:row>
      <xdr:rowOff>9525</xdr:rowOff>
    </xdr:from>
    <xdr:to>
      <xdr:col>3</xdr:col>
      <xdr:colOff>1390650</xdr:colOff>
      <xdr:row>42</xdr:row>
      <xdr:rowOff>0</xdr:rowOff>
    </xdr:to>
    <xdr:sp macro="" textlink="">
      <xdr:nvSpPr>
        <xdr:cNvPr id="86" name="Line 139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ShapeType="1"/>
        </xdr:cNvSpPr>
      </xdr:nvSpPr>
      <xdr:spPr bwMode="auto">
        <a:xfrm>
          <a:off x="1971675" y="99060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1390650</xdr:colOff>
      <xdr:row>42</xdr:row>
      <xdr:rowOff>266700</xdr:rowOff>
    </xdr:to>
    <xdr:sp macro="" textlink="">
      <xdr:nvSpPr>
        <xdr:cNvPr id="87" name="Line 140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 noChangeShapeType="1"/>
        </xdr:cNvSpPr>
      </xdr:nvSpPr>
      <xdr:spPr bwMode="auto">
        <a:xfrm>
          <a:off x="1962150" y="101441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19050</xdr:rowOff>
    </xdr:from>
    <xdr:to>
      <xdr:col>4</xdr:col>
      <xdr:colOff>1190625</xdr:colOff>
      <xdr:row>42</xdr:row>
      <xdr:rowOff>9525</xdr:rowOff>
    </xdr:to>
    <xdr:sp macro="" textlink="">
      <xdr:nvSpPr>
        <xdr:cNvPr id="88" name="Line 14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>
          <a:off x="3362325" y="99155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9525</xdr:rowOff>
    </xdr:from>
    <xdr:to>
      <xdr:col>5</xdr:col>
      <xdr:colOff>9525</xdr:colOff>
      <xdr:row>43</xdr:row>
      <xdr:rowOff>0</xdr:rowOff>
    </xdr:to>
    <xdr:sp macro="" textlink="">
      <xdr:nvSpPr>
        <xdr:cNvPr id="89" name="Line 142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3362325" y="101536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43</xdr:row>
      <xdr:rowOff>9525</xdr:rowOff>
    </xdr:from>
    <xdr:to>
      <xdr:col>7</xdr:col>
      <xdr:colOff>9525</xdr:colOff>
      <xdr:row>44</xdr:row>
      <xdr:rowOff>0</xdr:rowOff>
    </xdr:to>
    <xdr:sp macro="" textlink="">
      <xdr:nvSpPr>
        <xdr:cNvPr id="90" name="Line 14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ShapeType="1"/>
        </xdr:cNvSpPr>
      </xdr:nvSpPr>
      <xdr:spPr bwMode="auto">
        <a:xfrm>
          <a:off x="5648325" y="104013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91" name="Line 15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12401550" y="98964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9525</xdr:rowOff>
    </xdr:to>
    <xdr:sp macro="" textlink="">
      <xdr:nvSpPr>
        <xdr:cNvPr id="92" name="Line 135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1962150" y="98964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3" name="Line 13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1962150" y="101441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9525</xdr:rowOff>
    </xdr:from>
    <xdr:to>
      <xdr:col>5</xdr:col>
      <xdr:colOff>0</xdr:colOff>
      <xdr:row>42</xdr:row>
      <xdr:rowOff>9525</xdr:rowOff>
    </xdr:to>
    <xdr:sp macro="" textlink="">
      <xdr:nvSpPr>
        <xdr:cNvPr id="94" name="Line 137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3362325" y="99060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42</xdr:row>
      <xdr:rowOff>0</xdr:rowOff>
    </xdr:from>
    <xdr:to>
      <xdr:col>4</xdr:col>
      <xdr:colOff>1190625</xdr:colOff>
      <xdr:row>43</xdr:row>
      <xdr:rowOff>9525</xdr:rowOff>
    </xdr:to>
    <xdr:sp macro="" textlink="">
      <xdr:nvSpPr>
        <xdr:cNvPr id="95" name="Line 138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>
          <a:off x="3352800" y="101441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42</xdr:row>
      <xdr:rowOff>266700</xdr:rowOff>
    </xdr:from>
    <xdr:to>
      <xdr:col>7</xdr:col>
      <xdr:colOff>0</xdr:colOff>
      <xdr:row>44</xdr:row>
      <xdr:rowOff>19050</xdr:rowOff>
    </xdr:to>
    <xdr:sp macro="" textlink="">
      <xdr:nvSpPr>
        <xdr:cNvPr id="96" name="Line 147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>
          <a:off x="5638800" y="103917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9525</xdr:rowOff>
    </xdr:to>
    <xdr:sp macro="" textlink="">
      <xdr:nvSpPr>
        <xdr:cNvPr id="97" name="Line 150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>
          <a:off x="12392025" y="98964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9525</xdr:rowOff>
    </xdr:from>
    <xdr:to>
      <xdr:col>4</xdr:col>
      <xdr:colOff>0</xdr:colOff>
      <xdr:row>46</xdr:row>
      <xdr:rowOff>9525</xdr:rowOff>
    </xdr:to>
    <xdr:sp macro="" textlink="">
      <xdr:nvSpPr>
        <xdr:cNvPr id="98" name="Line 143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1962150" y="108966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9525</xdr:rowOff>
    </xdr:from>
    <xdr:to>
      <xdr:col>4</xdr:col>
      <xdr:colOff>1190625</xdr:colOff>
      <xdr:row>45</xdr:row>
      <xdr:rowOff>266700</xdr:rowOff>
    </xdr:to>
    <xdr:sp macro="" textlink="">
      <xdr:nvSpPr>
        <xdr:cNvPr id="99" name="Line 144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>
          <a:off x="3371850" y="108966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46</xdr:row>
      <xdr:rowOff>0</xdr:rowOff>
    </xdr:from>
    <xdr:to>
      <xdr:col>4</xdr:col>
      <xdr:colOff>9525</xdr:colOff>
      <xdr:row>47</xdr:row>
      <xdr:rowOff>0</xdr:rowOff>
    </xdr:to>
    <xdr:sp macro="" textlink="">
      <xdr:nvSpPr>
        <xdr:cNvPr id="100" name="Line 145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ShapeType="1"/>
        </xdr:cNvSpPr>
      </xdr:nvSpPr>
      <xdr:spPr bwMode="auto">
        <a:xfrm>
          <a:off x="1952625" y="111347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47</xdr:row>
      <xdr:rowOff>9525</xdr:rowOff>
    </xdr:to>
    <xdr:sp macro="" textlink="">
      <xdr:nvSpPr>
        <xdr:cNvPr id="101" name="Line 146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>
          <a:off x="337185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47</xdr:row>
      <xdr:rowOff>0</xdr:rowOff>
    </xdr:from>
    <xdr:to>
      <xdr:col>7</xdr:col>
      <xdr:colOff>0</xdr:colOff>
      <xdr:row>48</xdr:row>
      <xdr:rowOff>9525</xdr:rowOff>
    </xdr:to>
    <xdr:sp macro="" textlink="">
      <xdr:nvSpPr>
        <xdr:cNvPr id="102" name="Line 14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ShapeType="1"/>
        </xdr:cNvSpPr>
      </xdr:nvSpPr>
      <xdr:spPr bwMode="auto">
        <a:xfrm>
          <a:off x="5629275" y="113823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9525</xdr:rowOff>
    </xdr:from>
    <xdr:to>
      <xdr:col>12</xdr:col>
      <xdr:colOff>0</xdr:colOff>
      <xdr:row>46</xdr:row>
      <xdr:rowOff>0</xdr:rowOff>
    </xdr:to>
    <xdr:sp macro="" textlink="">
      <xdr:nvSpPr>
        <xdr:cNvPr id="103" name="Line 15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ShapeType="1"/>
        </xdr:cNvSpPr>
      </xdr:nvSpPr>
      <xdr:spPr bwMode="auto">
        <a:xfrm>
          <a:off x="12401550" y="108966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45</xdr:row>
      <xdr:rowOff>9525</xdr:rowOff>
    </xdr:from>
    <xdr:to>
      <xdr:col>3</xdr:col>
      <xdr:colOff>1390650</xdr:colOff>
      <xdr:row>46</xdr:row>
      <xdr:rowOff>0</xdr:rowOff>
    </xdr:to>
    <xdr:sp macro="" textlink="">
      <xdr:nvSpPr>
        <xdr:cNvPr id="104" name="Line 13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>
          <a:off x="1971675" y="108966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3</xdr:col>
      <xdr:colOff>1390650</xdr:colOff>
      <xdr:row>46</xdr:row>
      <xdr:rowOff>266700</xdr:rowOff>
    </xdr:to>
    <xdr:sp macro="" textlink="">
      <xdr:nvSpPr>
        <xdr:cNvPr id="105" name="Line 140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19050</xdr:rowOff>
    </xdr:from>
    <xdr:to>
      <xdr:col>4</xdr:col>
      <xdr:colOff>1190625</xdr:colOff>
      <xdr:row>46</xdr:row>
      <xdr:rowOff>9525</xdr:rowOff>
    </xdr:to>
    <xdr:sp macro="" textlink="">
      <xdr:nvSpPr>
        <xdr:cNvPr id="106" name="Line 14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>
          <a:off x="3362325" y="109061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9525</xdr:colOff>
      <xdr:row>47</xdr:row>
      <xdr:rowOff>0</xdr:rowOff>
    </xdr:to>
    <xdr:sp macro="" textlink="">
      <xdr:nvSpPr>
        <xdr:cNvPr id="107" name="Line 142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>
          <a:off x="3362325" y="111442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47</xdr:row>
      <xdr:rowOff>9525</xdr:rowOff>
    </xdr:from>
    <xdr:to>
      <xdr:col>7</xdr:col>
      <xdr:colOff>9525</xdr:colOff>
      <xdr:row>48</xdr:row>
      <xdr:rowOff>0</xdr:rowOff>
    </xdr:to>
    <xdr:sp macro="" textlink="">
      <xdr:nvSpPr>
        <xdr:cNvPr id="108" name="Line 148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>
          <a:off x="5648325" y="113919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09" name="Line 15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>
          <a:off x="12401550" y="108870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9525</xdr:rowOff>
    </xdr:to>
    <xdr:sp macro="" textlink="">
      <xdr:nvSpPr>
        <xdr:cNvPr id="110" name="Line 135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>
          <a:off x="1962150" y="108870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11" name="Line 136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9525</xdr:rowOff>
    </xdr:from>
    <xdr:to>
      <xdr:col>5</xdr:col>
      <xdr:colOff>0</xdr:colOff>
      <xdr:row>46</xdr:row>
      <xdr:rowOff>9525</xdr:rowOff>
    </xdr:to>
    <xdr:sp macro="" textlink="">
      <xdr:nvSpPr>
        <xdr:cNvPr id="112" name="Line 137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>
          <a:off x="3362325" y="108966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46</xdr:row>
      <xdr:rowOff>0</xdr:rowOff>
    </xdr:from>
    <xdr:to>
      <xdr:col>4</xdr:col>
      <xdr:colOff>1190625</xdr:colOff>
      <xdr:row>47</xdr:row>
      <xdr:rowOff>9525</xdr:rowOff>
    </xdr:to>
    <xdr:sp macro="" textlink="">
      <xdr:nvSpPr>
        <xdr:cNvPr id="113" name="Line 138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ShapeType="1"/>
        </xdr:cNvSpPr>
      </xdr:nvSpPr>
      <xdr:spPr bwMode="auto">
        <a:xfrm>
          <a:off x="335280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46</xdr:row>
      <xdr:rowOff>266700</xdr:rowOff>
    </xdr:from>
    <xdr:to>
      <xdr:col>7</xdr:col>
      <xdr:colOff>0</xdr:colOff>
      <xdr:row>48</xdr:row>
      <xdr:rowOff>19050</xdr:rowOff>
    </xdr:to>
    <xdr:sp macro="" textlink="">
      <xdr:nvSpPr>
        <xdr:cNvPr id="114" name="Line 147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ShapeType="1"/>
        </xdr:cNvSpPr>
      </xdr:nvSpPr>
      <xdr:spPr bwMode="auto">
        <a:xfrm>
          <a:off x="5638800" y="113823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45</xdr:row>
      <xdr:rowOff>0</xdr:rowOff>
    </xdr:from>
    <xdr:to>
      <xdr:col>12</xdr:col>
      <xdr:colOff>0</xdr:colOff>
      <xdr:row>46</xdr:row>
      <xdr:rowOff>9525</xdr:rowOff>
    </xdr:to>
    <xdr:sp macro="" textlink="">
      <xdr:nvSpPr>
        <xdr:cNvPr id="115" name="Line 150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ShapeType="1"/>
        </xdr:cNvSpPr>
      </xdr:nvSpPr>
      <xdr:spPr bwMode="auto">
        <a:xfrm>
          <a:off x="12392025" y="108870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9525</xdr:rowOff>
    </xdr:from>
    <xdr:to>
      <xdr:col>4</xdr:col>
      <xdr:colOff>0</xdr:colOff>
      <xdr:row>50</xdr:row>
      <xdr:rowOff>9525</xdr:rowOff>
    </xdr:to>
    <xdr:sp macro="" textlink="">
      <xdr:nvSpPr>
        <xdr:cNvPr id="116" name="Line 143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>
          <a:spLocks noChangeShapeType="1"/>
        </xdr:cNvSpPr>
      </xdr:nvSpPr>
      <xdr:spPr bwMode="auto">
        <a:xfrm>
          <a:off x="1962150" y="108966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49</xdr:row>
      <xdr:rowOff>9525</xdr:rowOff>
    </xdr:from>
    <xdr:to>
      <xdr:col>4</xdr:col>
      <xdr:colOff>1190625</xdr:colOff>
      <xdr:row>49</xdr:row>
      <xdr:rowOff>266700</xdr:rowOff>
    </xdr:to>
    <xdr:sp macro="" textlink="">
      <xdr:nvSpPr>
        <xdr:cNvPr id="117" name="Line 144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>
          <a:spLocks noChangeShapeType="1"/>
        </xdr:cNvSpPr>
      </xdr:nvSpPr>
      <xdr:spPr bwMode="auto">
        <a:xfrm>
          <a:off x="3371850" y="108966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50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18" name="Line 14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>
          <a:spLocks noChangeShapeType="1"/>
        </xdr:cNvSpPr>
      </xdr:nvSpPr>
      <xdr:spPr bwMode="auto">
        <a:xfrm>
          <a:off x="1952625" y="111347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5</xdr:col>
      <xdr:colOff>9525</xdr:colOff>
      <xdr:row>51</xdr:row>
      <xdr:rowOff>9525</xdr:rowOff>
    </xdr:to>
    <xdr:sp macro="" textlink="">
      <xdr:nvSpPr>
        <xdr:cNvPr id="119" name="Line 146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>
          <a:spLocks noChangeShapeType="1"/>
        </xdr:cNvSpPr>
      </xdr:nvSpPr>
      <xdr:spPr bwMode="auto">
        <a:xfrm>
          <a:off x="337185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51</xdr:row>
      <xdr:rowOff>0</xdr:rowOff>
    </xdr:from>
    <xdr:to>
      <xdr:col>7</xdr:col>
      <xdr:colOff>0</xdr:colOff>
      <xdr:row>52</xdr:row>
      <xdr:rowOff>9525</xdr:rowOff>
    </xdr:to>
    <xdr:sp macro="" textlink="">
      <xdr:nvSpPr>
        <xdr:cNvPr id="120" name="Line 14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ShapeType="1"/>
        </xdr:cNvSpPr>
      </xdr:nvSpPr>
      <xdr:spPr bwMode="auto">
        <a:xfrm>
          <a:off x="5629275" y="113823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9525</xdr:rowOff>
    </xdr:from>
    <xdr:to>
      <xdr:col>12</xdr:col>
      <xdr:colOff>0</xdr:colOff>
      <xdr:row>50</xdr:row>
      <xdr:rowOff>0</xdr:rowOff>
    </xdr:to>
    <xdr:sp macro="" textlink="">
      <xdr:nvSpPr>
        <xdr:cNvPr id="121" name="Line 152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ShapeType="1"/>
        </xdr:cNvSpPr>
      </xdr:nvSpPr>
      <xdr:spPr bwMode="auto">
        <a:xfrm>
          <a:off x="12401550" y="108966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49</xdr:row>
      <xdr:rowOff>9525</xdr:rowOff>
    </xdr:from>
    <xdr:to>
      <xdr:col>3</xdr:col>
      <xdr:colOff>1390650</xdr:colOff>
      <xdr:row>50</xdr:row>
      <xdr:rowOff>0</xdr:rowOff>
    </xdr:to>
    <xdr:sp macro="" textlink="">
      <xdr:nvSpPr>
        <xdr:cNvPr id="122" name="Line 13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ShapeType="1"/>
        </xdr:cNvSpPr>
      </xdr:nvSpPr>
      <xdr:spPr bwMode="auto">
        <a:xfrm>
          <a:off x="1971675" y="108966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3</xdr:col>
      <xdr:colOff>1390650</xdr:colOff>
      <xdr:row>50</xdr:row>
      <xdr:rowOff>266700</xdr:rowOff>
    </xdr:to>
    <xdr:sp macro="" textlink="">
      <xdr:nvSpPr>
        <xdr:cNvPr id="123" name="Line 140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19050</xdr:rowOff>
    </xdr:from>
    <xdr:to>
      <xdr:col>4</xdr:col>
      <xdr:colOff>1190625</xdr:colOff>
      <xdr:row>50</xdr:row>
      <xdr:rowOff>9525</xdr:rowOff>
    </xdr:to>
    <xdr:sp macro="" textlink="">
      <xdr:nvSpPr>
        <xdr:cNvPr id="124" name="Line 14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ShapeType="1"/>
        </xdr:cNvSpPr>
      </xdr:nvSpPr>
      <xdr:spPr bwMode="auto">
        <a:xfrm>
          <a:off x="3362325" y="109061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</xdr:rowOff>
    </xdr:from>
    <xdr:to>
      <xdr:col>5</xdr:col>
      <xdr:colOff>9525</xdr:colOff>
      <xdr:row>51</xdr:row>
      <xdr:rowOff>0</xdr:rowOff>
    </xdr:to>
    <xdr:sp macro="" textlink="">
      <xdr:nvSpPr>
        <xdr:cNvPr id="125" name="Line 142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ShapeType="1"/>
        </xdr:cNvSpPr>
      </xdr:nvSpPr>
      <xdr:spPr bwMode="auto">
        <a:xfrm>
          <a:off x="3362325" y="111442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51</xdr:row>
      <xdr:rowOff>9525</xdr:rowOff>
    </xdr:from>
    <xdr:to>
      <xdr:col>7</xdr:col>
      <xdr:colOff>9525</xdr:colOff>
      <xdr:row>52</xdr:row>
      <xdr:rowOff>0</xdr:rowOff>
    </xdr:to>
    <xdr:sp macro="" textlink="">
      <xdr:nvSpPr>
        <xdr:cNvPr id="126" name="Line 148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ShapeType="1"/>
        </xdr:cNvSpPr>
      </xdr:nvSpPr>
      <xdr:spPr bwMode="auto">
        <a:xfrm>
          <a:off x="5648325" y="113919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27" name="Line 15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ShapeType="1"/>
        </xdr:cNvSpPr>
      </xdr:nvSpPr>
      <xdr:spPr bwMode="auto">
        <a:xfrm>
          <a:off x="12401550" y="108870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0</xdr:colOff>
      <xdr:row>50</xdr:row>
      <xdr:rowOff>9525</xdr:rowOff>
    </xdr:to>
    <xdr:sp macro="" textlink="">
      <xdr:nvSpPr>
        <xdr:cNvPr id="128" name="Line 135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ShapeType="1"/>
        </xdr:cNvSpPr>
      </xdr:nvSpPr>
      <xdr:spPr bwMode="auto">
        <a:xfrm>
          <a:off x="1962150" y="108870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29" name="Line 136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9525</xdr:rowOff>
    </xdr:from>
    <xdr:to>
      <xdr:col>5</xdr:col>
      <xdr:colOff>0</xdr:colOff>
      <xdr:row>50</xdr:row>
      <xdr:rowOff>9525</xdr:rowOff>
    </xdr:to>
    <xdr:sp macro="" textlink="">
      <xdr:nvSpPr>
        <xdr:cNvPr id="130" name="Line 137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ShapeType="1"/>
        </xdr:cNvSpPr>
      </xdr:nvSpPr>
      <xdr:spPr bwMode="auto">
        <a:xfrm>
          <a:off x="3362325" y="108966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50</xdr:row>
      <xdr:rowOff>0</xdr:rowOff>
    </xdr:from>
    <xdr:to>
      <xdr:col>4</xdr:col>
      <xdr:colOff>1190625</xdr:colOff>
      <xdr:row>51</xdr:row>
      <xdr:rowOff>9525</xdr:rowOff>
    </xdr:to>
    <xdr:sp macro="" textlink="">
      <xdr:nvSpPr>
        <xdr:cNvPr id="131" name="Line 138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ShapeType="1"/>
        </xdr:cNvSpPr>
      </xdr:nvSpPr>
      <xdr:spPr bwMode="auto">
        <a:xfrm>
          <a:off x="335280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50</xdr:row>
      <xdr:rowOff>266700</xdr:rowOff>
    </xdr:from>
    <xdr:to>
      <xdr:col>7</xdr:col>
      <xdr:colOff>0</xdr:colOff>
      <xdr:row>52</xdr:row>
      <xdr:rowOff>19050</xdr:rowOff>
    </xdr:to>
    <xdr:sp macro="" textlink="">
      <xdr:nvSpPr>
        <xdr:cNvPr id="132" name="Line 147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ShapeType="1"/>
        </xdr:cNvSpPr>
      </xdr:nvSpPr>
      <xdr:spPr bwMode="auto">
        <a:xfrm>
          <a:off x="5638800" y="113823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49</xdr:row>
      <xdr:rowOff>0</xdr:rowOff>
    </xdr:from>
    <xdr:to>
      <xdr:col>12</xdr:col>
      <xdr:colOff>0</xdr:colOff>
      <xdr:row>50</xdr:row>
      <xdr:rowOff>9525</xdr:rowOff>
    </xdr:to>
    <xdr:sp macro="" textlink="">
      <xdr:nvSpPr>
        <xdr:cNvPr id="133" name="Line 150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ShapeType="1"/>
        </xdr:cNvSpPr>
      </xdr:nvSpPr>
      <xdr:spPr bwMode="auto">
        <a:xfrm>
          <a:off x="12392025" y="108870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53</xdr:row>
      <xdr:rowOff>9525</xdr:rowOff>
    </xdr:from>
    <xdr:to>
      <xdr:col>4</xdr:col>
      <xdr:colOff>0</xdr:colOff>
      <xdr:row>54</xdr:row>
      <xdr:rowOff>9525</xdr:rowOff>
    </xdr:to>
    <xdr:sp macro="" textlink="">
      <xdr:nvSpPr>
        <xdr:cNvPr id="134" name="Line 14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ShapeType="1"/>
        </xdr:cNvSpPr>
      </xdr:nvSpPr>
      <xdr:spPr bwMode="auto">
        <a:xfrm>
          <a:off x="1962150" y="108966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53</xdr:row>
      <xdr:rowOff>9525</xdr:rowOff>
    </xdr:from>
    <xdr:to>
      <xdr:col>4</xdr:col>
      <xdr:colOff>1190625</xdr:colOff>
      <xdr:row>53</xdr:row>
      <xdr:rowOff>266700</xdr:rowOff>
    </xdr:to>
    <xdr:sp macro="" textlink="">
      <xdr:nvSpPr>
        <xdr:cNvPr id="135" name="Line 14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ShapeType="1"/>
        </xdr:cNvSpPr>
      </xdr:nvSpPr>
      <xdr:spPr bwMode="auto">
        <a:xfrm>
          <a:off x="3371850" y="108966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54</xdr:row>
      <xdr:rowOff>0</xdr:rowOff>
    </xdr:from>
    <xdr:to>
      <xdr:col>4</xdr:col>
      <xdr:colOff>9525</xdr:colOff>
      <xdr:row>55</xdr:row>
      <xdr:rowOff>0</xdr:rowOff>
    </xdr:to>
    <xdr:sp macro="" textlink="">
      <xdr:nvSpPr>
        <xdr:cNvPr id="136" name="Line 14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ShapeType="1"/>
        </xdr:cNvSpPr>
      </xdr:nvSpPr>
      <xdr:spPr bwMode="auto">
        <a:xfrm>
          <a:off x="1952625" y="111347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54</xdr:row>
      <xdr:rowOff>0</xdr:rowOff>
    </xdr:from>
    <xdr:to>
      <xdr:col>5</xdr:col>
      <xdr:colOff>9525</xdr:colOff>
      <xdr:row>55</xdr:row>
      <xdr:rowOff>9525</xdr:rowOff>
    </xdr:to>
    <xdr:sp macro="" textlink="">
      <xdr:nvSpPr>
        <xdr:cNvPr id="137" name="Line 14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ShapeType="1"/>
        </xdr:cNvSpPr>
      </xdr:nvSpPr>
      <xdr:spPr bwMode="auto">
        <a:xfrm>
          <a:off x="337185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55</xdr:row>
      <xdr:rowOff>0</xdr:rowOff>
    </xdr:from>
    <xdr:to>
      <xdr:col>7</xdr:col>
      <xdr:colOff>0</xdr:colOff>
      <xdr:row>56</xdr:row>
      <xdr:rowOff>9525</xdr:rowOff>
    </xdr:to>
    <xdr:sp macro="" textlink="">
      <xdr:nvSpPr>
        <xdr:cNvPr id="138" name="Line 149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ShapeType="1"/>
        </xdr:cNvSpPr>
      </xdr:nvSpPr>
      <xdr:spPr bwMode="auto">
        <a:xfrm>
          <a:off x="5629275" y="113823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9525</xdr:rowOff>
    </xdr:from>
    <xdr:to>
      <xdr:col>12</xdr:col>
      <xdr:colOff>0</xdr:colOff>
      <xdr:row>54</xdr:row>
      <xdr:rowOff>0</xdr:rowOff>
    </xdr:to>
    <xdr:sp macro="" textlink="">
      <xdr:nvSpPr>
        <xdr:cNvPr id="139" name="Line 152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ShapeType="1"/>
        </xdr:cNvSpPr>
      </xdr:nvSpPr>
      <xdr:spPr bwMode="auto">
        <a:xfrm>
          <a:off x="12401550" y="108966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53</xdr:row>
      <xdr:rowOff>9525</xdr:rowOff>
    </xdr:from>
    <xdr:to>
      <xdr:col>3</xdr:col>
      <xdr:colOff>1390650</xdr:colOff>
      <xdr:row>54</xdr:row>
      <xdr:rowOff>0</xdr:rowOff>
    </xdr:to>
    <xdr:sp macro="" textlink="">
      <xdr:nvSpPr>
        <xdr:cNvPr id="140" name="Line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ShapeType="1"/>
        </xdr:cNvSpPr>
      </xdr:nvSpPr>
      <xdr:spPr bwMode="auto">
        <a:xfrm>
          <a:off x="1971675" y="108966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54</xdr:row>
      <xdr:rowOff>0</xdr:rowOff>
    </xdr:from>
    <xdr:to>
      <xdr:col>3</xdr:col>
      <xdr:colOff>1390650</xdr:colOff>
      <xdr:row>54</xdr:row>
      <xdr:rowOff>266700</xdr:rowOff>
    </xdr:to>
    <xdr:sp macro="" textlink="">
      <xdr:nvSpPr>
        <xdr:cNvPr id="141" name="Line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19050</xdr:rowOff>
    </xdr:from>
    <xdr:to>
      <xdr:col>4</xdr:col>
      <xdr:colOff>1190625</xdr:colOff>
      <xdr:row>54</xdr:row>
      <xdr:rowOff>9525</xdr:rowOff>
    </xdr:to>
    <xdr:sp macro="" textlink="">
      <xdr:nvSpPr>
        <xdr:cNvPr id="142" name="Line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>
          <a:off x="3362325" y="109061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54</xdr:row>
      <xdr:rowOff>9525</xdr:rowOff>
    </xdr:from>
    <xdr:to>
      <xdr:col>5</xdr:col>
      <xdr:colOff>9525</xdr:colOff>
      <xdr:row>55</xdr:row>
      <xdr:rowOff>0</xdr:rowOff>
    </xdr:to>
    <xdr:sp macro="" textlink="">
      <xdr:nvSpPr>
        <xdr:cNvPr id="143" name="Line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ShapeType="1"/>
        </xdr:cNvSpPr>
      </xdr:nvSpPr>
      <xdr:spPr bwMode="auto">
        <a:xfrm>
          <a:off x="3362325" y="111442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55</xdr:row>
      <xdr:rowOff>9525</xdr:rowOff>
    </xdr:from>
    <xdr:to>
      <xdr:col>7</xdr:col>
      <xdr:colOff>9525</xdr:colOff>
      <xdr:row>56</xdr:row>
      <xdr:rowOff>0</xdr:rowOff>
    </xdr:to>
    <xdr:sp macro="" textlink="">
      <xdr:nvSpPr>
        <xdr:cNvPr id="144" name="Line 148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>
          <a:off x="5648325" y="113919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54</xdr:row>
      <xdr:rowOff>0</xdr:rowOff>
    </xdr:to>
    <xdr:sp macro="" textlink="">
      <xdr:nvSpPr>
        <xdr:cNvPr id="145" name="Line 15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ShapeType="1"/>
        </xdr:cNvSpPr>
      </xdr:nvSpPr>
      <xdr:spPr bwMode="auto">
        <a:xfrm>
          <a:off x="12401550" y="108870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53</xdr:row>
      <xdr:rowOff>0</xdr:rowOff>
    </xdr:from>
    <xdr:to>
      <xdr:col>4</xdr:col>
      <xdr:colOff>0</xdr:colOff>
      <xdr:row>54</xdr:row>
      <xdr:rowOff>9525</xdr:rowOff>
    </xdr:to>
    <xdr:sp macro="" textlink="">
      <xdr:nvSpPr>
        <xdr:cNvPr id="146" name="Line 13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>
          <a:off x="1962150" y="108870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54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147" name="Line 13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9525</xdr:rowOff>
    </xdr:from>
    <xdr:to>
      <xdr:col>5</xdr:col>
      <xdr:colOff>0</xdr:colOff>
      <xdr:row>54</xdr:row>
      <xdr:rowOff>9525</xdr:rowOff>
    </xdr:to>
    <xdr:sp macro="" textlink="">
      <xdr:nvSpPr>
        <xdr:cNvPr id="148" name="Line 13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ShapeType="1"/>
        </xdr:cNvSpPr>
      </xdr:nvSpPr>
      <xdr:spPr bwMode="auto">
        <a:xfrm>
          <a:off x="3362325" y="108966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54</xdr:row>
      <xdr:rowOff>0</xdr:rowOff>
    </xdr:from>
    <xdr:to>
      <xdr:col>4</xdr:col>
      <xdr:colOff>1190625</xdr:colOff>
      <xdr:row>55</xdr:row>
      <xdr:rowOff>9525</xdr:rowOff>
    </xdr:to>
    <xdr:sp macro="" textlink="">
      <xdr:nvSpPr>
        <xdr:cNvPr id="149" name="Line 13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ShapeType="1"/>
        </xdr:cNvSpPr>
      </xdr:nvSpPr>
      <xdr:spPr bwMode="auto">
        <a:xfrm>
          <a:off x="335280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54</xdr:row>
      <xdr:rowOff>266700</xdr:rowOff>
    </xdr:from>
    <xdr:to>
      <xdr:col>7</xdr:col>
      <xdr:colOff>0</xdr:colOff>
      <xdr:row>56</xdr:row>
      <xdr:rowOff>19050</xdr:rowOff>
    </xdr:to>
    <xdr:sp macro="" textlink="">
      <xdr:nvSpPr>
        <xdr:cNvPr id="150" name="Line 147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ShapeType="1"/>
        </xdr:cNvSpPr>
      </xdr:nvSpPr>
      <xdr:spPr bwMode="auto">
        <a:xfrm>
          <a:off x="5638800" y="113823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53</xdr:row>
      <xdr:rowOff>0</xdr:rowOff>
    </xdr:from>
    <xdr:to>
      <xdr:col>12</xdr:col>
      <xdr:colOff>0</xdr:colOff>
      <xdr:row>54</xdr:row>
      <xdr:rowOff>9525</xdr:rowOff>
    </xdr:to>
    <xdr:sp macro="" textlink="">
      <xdr:nvSpPr>
        <xdr:cNvPr id="151" name="Line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ShapeType="1"/>
        </xdr:cNvSpPr>
      </xdr:nvSpPr>
      <xdr:spPr bwMode="auto">
        <a:xfrm>
          <a:off x="12392025" y="108870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55</xdr:row>
      <xdr:rowOff>0</xdr:rowOff>
    </xdr:from>
    <xdr:to>
      <xdr:col>14</xdr:col>
      <xdr:colOff>0</xdr:colOff>
      <xdr:row>56</xdr:row>
      <xdr:rowOff>9525</xdr:rowOff>
    </xdr:to>
    <xdr:sp macro="" textlink="">
      <xdr:nvSpPr>
        <xdr:cNvPr id="152" name="Line 149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ShapeType="1"/>
        </xdr:cNvSpPr>
      </xdr:nvSpPr>
      <xdr:spPr bwMode="auto">
        <a:xfrm>
          <a:off x="5629275" y="143541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54</xdr:row>
      <xdr:rowOff>266700</xdr:rowOff>
    </xdr:from>
    <xdr:to>
      <xdr:col>14</xdr:col>
      <xdr:colOff>0</xdr:colOff>
      <xdr:row>56</xdr:row>
      <xdr:rowOff>19050</xdr:rowOff>
    </xdr:to>
    <xdr:sp macro="" textlink="">
      <xdr:nvSpPr>
        <xdr:cNvPr id="153" name="Line 147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ShapeType="1"/>
        </xdr:cNvSpPr>
      </xdr:nvSpPr>
      <xdr:spPr bwMode="auto">
        <a:xfrm>
          <a:off x="5638800" y="14354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9525</xdr:rowOff>
    </xdr:from>
    <xdr:to>
      <xdr:col>4</xdr:col>
      <xdr:colOff>0</xdr:colOff>
      <xdr:row>50</xdr:row>
      <xdr:rowOff>9525</xdr:rowOff>
    </xdr:to>
    <xdr:sp macro="" textlink="">
      <xdr:nvSpPr>
        <xdr:cNvPr id="154" name="Line 14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ShapeType="1"/>
        </xdr:cNvSpPr>
      </xdr:nvSpPr>
      <xdr:spPr bwMode="auto">
        <a:xfrm>
          <a:off x="1962150" y="138684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49</xdr:row>
      <xdr:rowOff>9525</xdr:rowOff>
    </xdr:from>
    <xdr:to>
      <xdr:col>4</xdr:col>
      <xdr:colOff>1190625</xdr:colOff>
      <xdr:row>49</xdr:row>
      <xdr:rowOff>266700</xdr:rowOff>
    </xdr:to>
    <xdr:sp macro="" textlink="">
      <xdr:nvSpPr>
        <xdr:cNvPr id="155" name="Line 14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ShapeType="1"/>
        </xdr:cNvSpPr>
      </xdr:nvSpPr>
      <xdr:spPr bwMode="auto">
        <a:xfrm>
          <a:off x="3371850" y="138684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50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156" name="Line 14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ShapeType="1"/>
        </xdr:cNvSpPr>
      </xdr:nvSpPr>
      <xdr:spPr bwMode="auto">
        <a:xfrm>
          <a:off x="1952625" y="141065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5</xdr:col>
      <xdr:colOff>9525</xdr:colOff>
      <xdr:row>51</xdr:row>
      <xdr:rowOff>9525</xdr:rowOff>
    </xdr:to>
    <xdr:sp macro="" textlink="">
      <xdr:nvSpPr>
        <xdr:cNvPr id="157" name="Line 14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51</xdr:row>
      <xdr:rowOff>0</xdr:rowOff>
    </xdr:from>
    <xdr:to>
      <xdr:col>7</xdr:col>
      <xdr:colOff>0</xdr:colOff>
      <xdr:row>52</xdr:row>
      <xdr:rowOff>9525</xdr:rowOff>
    </xdr:to>
    <xdr:sp macro="" textlink="">
      <xdr:nvSpPr>
        <xdr:cNvPr id="158" name="Line 149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ShapeType="1"/>
        </xdr:cNvSpPr>
      </xdr:nvSpPr>
      <xdr:spPr bwMode="auto">
        <a:xfrm>
          <a:off x="5629275" y="143541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9525</xdr:rowOff>
    </xdr:from>
    <xdr:to>
      <xdr:col>12</xdr:col>
      <xdr:colOff>0</xdr:colOff>
      <xdr:row>50</xdr:row>
      <xdr:rowOff>0</xdr:rowOff>
    </xdr:to>
    <xdr:sp macro="" textlink="">
      <xdr:nvSpPr>
        <xdr:cNvPr id="159" name="Line 152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ShapeType="1"/>
        </xdr:cNvSpPr>
      </xdr:nvSpPr>
      <xdr:spPr bwMode="auto">
        <a:xfrm>
          <a:off x="12401550" y="138684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49</xdr:row>
      <xdr:rowOff>9525</xdr:rowOff>
    </xdr:from>
    <xdr:to>
      <xdr:col>3</xdr:col>
      <xdr:colOff>1390650</xdr:colOff>
      <xdr:row>50</xdr:row>
      <xdr:rowOff>0</xdr:rowOff>
    </xdr:to>
    <xdr:sp macro="" textlink="">
      <xdr:nvSpPr>
        <xdr:cNvPr id="160" name="Line 13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ShapeType="1"/>
        </xdr:cNvSpPr>
      </xdr:nvSpPr>
      <xdr:spPr bwMode="auto">
        <a:xfrm>
          <a:off x="1971675" y="138684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3</xdr:col>
      <xdr:colOff>1390650</xdr:colOff>
      <xdr:row>50</xdr:row>
      <xdr:rowOff>266700</xdr:rowOff>
    </xdr:to>
    <xdr:sp macro="" textlink="">
      <xdr:nvSpPr>
        <xdr:cNvPr id="161" name="Line 14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19050</xdr:rowOff>
    </xdr:from>
    <xdr:to>
      <xdr:col>4</xdr:col>
      <xdr:colOff>1190625</xdr:colOff>
      <xdr:row>50</xdr:row>
      <xdr:rowOff>9525</xdr:rowOff>
    </xdr:to>
    <xdr:sp macro="" textlink="">
      <xdr:nvSpPr>
        <xdr:cNvPr id="162" name="Line 14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ShapeType="1"/>
        </xdr:cNvSpPr>
      </xdr:nvSpPr>
      <xdr:spPr bwMode="auto">
        <a:xfrm>
          <a:off x="3362325" y="138779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</xdr:rowOff>
    </xdr:from>
    <xdr:to>
      <xdr:col>5</xdr:col>
      <xdr:colOff>9525</xdr:colOff>
      <xdr:row>51</xdr:row>
      <xdr:rowOff>0</xdr:rowOff>
    </xdr:to>
    <xdr:sp macro="" textlink="">
      <xdr:nvSpPr>
        <xdr:cNvPr id="163" name="Line 14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51</xdr:row>
      <xdr:rowOff>9525</xdr:rowOff>
    </xdr:from>
    <xdr:to>
      <xdr:col>7</xdr:col>
      <xdr:colOff>9525</xdr:colOff>
      <xdr:row>52</xdr:row>
      <xdr:rowOff>0</xdr:rowOff>
    </xdr:to>
    <xdr:sp macro="" textlink="">
      <xdr:nvSpPr>
        <xdr:cNvPr id="164" name="Line 148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ShapeType="1"/>
        </xdr:cNvSpPr>
      </xdr:nvSpPr>
      <xdr:spPr bwMode="auto">
        <a:xfrm>
          <a:off x="5648325" y="143637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65" name="Line 15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ShapeType="1"/>
        </xdr:cNvSpPr>
      </xdr:nvSpPr>
      <xdr:spPr bwMode="auto">
        <a:xfrm>
          <a:off x="12401550" y="138588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0</xdr:colOff>
      <xdr:row>50</xdr:row>
      <xdr:rowOff>9525</xdr:rowOff>
    </xdr:to>
    <xdr:sp macro="" textlink="">
      <xdr:nvSpPr>
        <xdr:cNvPr id="166" name="Line 13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ShapeType="1"/>
        </xdr:cNvSpPr>
      </xdr:nvSpPr>
      <xdr:spPr bwMode="auto">
        <a:xfrm>
          <a:off x="1962150" y="138588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67" name="Line 13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9525</xdr:rowOff>
    </xdr:from>
    <xdr:to>
      <xdr:col>5</xdr:col>
      <xdr:colOff>0</xdr:colOff>
      <xdr:row>50</xdr:row>
      <xdr:rowOff>9525</xdr:rowOff>
    </xdr:to>
    <xdr:sp macro="" textlink="">
      <xdr:nvSpPr>
        <xdr:cNvPr id="168" name="Line 13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ShapeType="1"/>
        </xdr:cNvSpPr>
      </xdr:nvSpPr>
      <xdr:spPr bwMode="auto">
        <a:xfrm>
          <a:off x="3362325" y="138684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50</xdr:row>
      <xdr:rowOff>0</xdr:rowOff>
    </xdr:from>
    <xdr:to>
      <xdr:col>4</xdr:col>
      <xdr:colOff>1190625</xdr:colOff>
      <xdr:row>51</xdr:row>
      <xdr:rowOff>9525</xdr:rowOff>
    </xdr:to>
    <xdr:sp macro="" textlink="">
      <xdr:nvSpPr>
        <xdr:cNvPr id="169" name="Line 13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ShapeType="1"/>
        </xdr:cNvSpPr>
      </xdr:nvSpPr>
      <xdr:spPr bwMode="auto">
        <a:xfrm>
          <a:off x="335280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50</xdr:row>
      <xdr:rowOff>266700</xdr:rowOff>
    </xdr:from>
    <xdr:to>
      <xdr:col>7</xdr:col>
      <xdr:colOff>0</xdr:colOff>
      <xdr:row>52</xdr:row>
      <xdr:rowOff>19050</xdr:rowOff>
    </xdr:to>
    <xdr:sp macro="" textlink="">
      <xdr:nvSpPr>
        <xdr:cNvPr id="170" name="Line 147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ShapeType="1"/>
        </xdr:cNvSpPr>
      </xdr:nvSpPr>
      <xdr:spPr bwMode="auto">
        <a:xfrm>
          <a:off x="5638800" y="14354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49</xdr:row>
      <xdr:rowOff>0</xdr:rowOff>
    </xdr:from>
    <xdr:to>
      <xdr:col>12</xdr:col>
      <xdr:colOff>0</xdr:colOff>
      <xdr:row>50</xdr:row>
      <xdr:rowOff>9525</xdr:rowOff>
    </xdr:to>
    <xdr:sp macro="" textlink="">
      <xdr:nvSpPr>
        <xdr:cNvPr id="171" name="Line 15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>
          <a:spLocks noChangeShapeType="1"/>
        </xdr:cNvSpPr>
      </xdr:nvSpPr>
      <xdr:spPr bwMode="auto">
        <a:xfrm>
          <a:off x="12392025" y="138588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51</xdr:row>
      <xdr:rowOff>0</xdr:rowOff>
    </xdr:from>
    <xdr:to>
      <xdr:col>14</xdr:col>
      <xdr:colOff>0</xdr:colOff>
      <xdr:row>52</xdr:row>
      <xdr:rowOff>9525</xdr:rowOff>
    </xdr:to>
    <xdr:sp macro="" textlink="">
      <xdr:nvSpPr>
        <xdr:cNvPr id="172" name="Line 149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>
          <a:spLocks noChangeShapeType="1"/>
        </xdr:cNvSpPr>
      </xdr:nvSpPr>
      <xdr:spPr bwMode="auto">
        <a:xfrm>
          <a:off x="15049500" y="14354175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50</xdr:row>
      <xdr:rowOff>266700</xdr:rowOff>
    </xdr:from>
    <xdr:to>
      <xdr:col>14</xdr:col>
      <xdr:colOff>0</xdr:colOff>
      <xdr:row>52</xdr:row>
      <xdr:rowOff>19050</xdr:rowOff>
    </xdr:to>
    <xdr:sp macro="" textlink="">
      <xdr:nvSpPr>
        <xdr:cNvPr id="173" name="Line 147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>
          <a:spLocks noChangeShapeType="1"/>
        </xdr:cNvSpPr>
      </xdr:nvSpPr>
      <xdr:spPr bwMode="auto">
        <a:xfrm>
          <a:off x="15430500" y="14354175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9525</xdr:rowOff>
    </xdr:from>
    <xdr:to>
      <xdr:col>4</xdr:col>
      <xdr:colOff>0</xdr:colOff>
      <xdr:row>46</xdr:row>
      <xdr:rowOff>9525</xdr:rowOff>
    </xdr:to>
    <xdr:sp macro="" textlink="">
      <xdr:nvSpPr>
        <xdr:cNvPr id="174" name="Line 14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>
          <a:spLocks noChangeShapeType="1"/>
        </xdr:cNvSpPr>
      </xdr:nvSpPr>
      <xdr:spPr bwMode="auto">
        <a:xfrm>
          <a:off x="1962150" y="138684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9525</xdr:rowOff>
    </xdr:from>
    <xdr:to>
      <xdr:col>4</xdr:col>
      <xdr:colOff>1190625</xdr:colOff>
      <xdr:row>45</xdr:row>
      <xdr:rowOff>266700</xdr:rowOff>
    </xdr:to>
    <xdr:sp macro="" textlink="">
      <xdr:nvSpPr>
        <xdr:cNvPr id="175" name="Line 14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>
          <a:spLocks noChangeShapeType="1"/>
        </xdr:cNvSpPr>
      </xdr:nvSpPr>
      <xdr:spPr bwMode="auto">
        <a:xfrm>
          <a:off x="3371850" y="138684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46</xdr:row>
      <xdr:rowOff>0</xdr:rowOff>
    </xdr:from>
    <xdr:to>
      <xdr:col>4</xdr:col>
      <xdr:colOff>9525</xdr:colOff>
      <xdr:row>47</xdr:row>
      <xdr:rowOff>0</xdr:rowOff>
    </xdr:to>
    <xdr:sp macro="" textlink="">
      <xdr:nvSpPr>
        <xdr:cNvPr id="176" name="Line 14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>
          <a:spLocks noChangeShapeType="1"/>
        </xdr:cNvSpPr>
      </xdr:nvSpPr>
      <xdr:spPr bwMode="auto">
        <a:xfrm>
          <a:off x="1952625" y="141065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47</xdr:row>
      <xdr:rowOff>9525</xdr:rowOff>
    </xdr:to>
    <xdr:sp macro="" textlink="">
      <xdr:nvSpPr>
        <xdr:cNvPr id="177" name="Line 14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47</xdr:row>
      <xdr:rowOff>0</xdr:rowOff>
    </xdr:from>
    <xdr:to>
      <xdr:col>7</xdr:col>
      <xdr:colOff>0</xdr:colOff>
      <xdr:row>48</xdr:row>
      <xdr:rowOff>9525</xdr:rowOff>
    </xdr:to>
    <xdr:sp macro="" textlink="">
      <xdr:nvSpPr>
        <xdr:cNvPr id="178" name="Line 149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>
          <a:spLocks noChangeShapeType="1"/>
        </xdr:cNvSpPr>
      </xdr:nvSpPr>
      <xdr:spPr bwMode="auto">
        <a:xfrm>
          <a:off x="5629275" y="143541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9525</xdr:rowOff>
    </xdr:from>
    <xdr:to>
      <xdr:col>12</xdr:col>
      <xdr:colOff>0</xdr:colOff>
      <xdr:row>46</xdr:row>
      <xdr:rowOff>0</xdr:rowOff>
    </xdr:to>
    <xdr:sp macro="" textlink="">
      <xdr:nvSpPr>
        <xdr:cNvPr id="179" name="Line 152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>
          <a:spLocks noChangeShapeType="1"/>
        </xdr:cNvSpPr>
      </xdr:nvSpPr>
      <xdr:spPr bwMode="auto">
        <a:xfrm>
          <a:off x="12401550" y="138684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45</xdr:row>
      <xdr:rowOff>9525</xdr:rowOff>
    </xdr:from>
    <xdr:to>
      <xdr:col>3</xdr:col>
      <xdr:colOff>1390650</xdr:colOff>
      <xdr:row>46</xdr:row>
      <xdr:rowOff>0</xdr:rowOff>
    </xdr:to>
    <xdr:sp macro="" textlink="">
      <xdr:nvSpPr>
        <xdr:cNvPr id="180" name="Line 13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>
          <a:spLocks noChangeShapeType="1"/>
        </xdr:cNvSpPr>
      </xdr:nvSpPr>
      <xdr:spPr bwMode="auto">
        <a:xfrm>
          <a:off x="1971675" y="138684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3</xdr:col>
      <xdr:colOff>1390650</xdr:colOff>
      <xdr:row>46</xdr:row>
      <xdr:rowOff>266700</xdr:rowOff>
    </xdr:to>
    <xdr:sp macro="" textlink="">
      <xdr:nvSpPr>
        <xdr:cNvPr id="181" name="Line 140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19050</xdr:rowOff>
    </xdr:from>
    <xdr:to>
      <xdr:col>4</xdr:col>
      <xdr:colOff>1190625</xdr:colOff>
      <xdr:row>46</xdr:row>
      <xdr:rowOff>9525</xdr:rowOff>
    </xdr:to>
    <xdr:sp macro="" textlink="">
      <xdr:nvSpPr>
        <xdr:cNvPr id="182" name="Line 14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>
          <a:spLocks noChangeShapeType="1"/>
        </xdr:cNvSpPr>
      </xdr:nvSpPr>
      <xdr:spPr bwMode="auto">
        <a:xfrm>
          <a:off x="3362325" y="138779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9525</xdr:colOff>
      <xdr:row>47</xdr:row>
      <xdr:rowOff>0</xdr:rowOff>
    </xdr:to>
    <xdr:sp macro="" textlink="">
      <xdr:nvSpPr>
        <xdr:cNvPr id="183" name="Line 14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47</xdr:row>
      <xdr:rowOff>9525</xdr:rowOff>
    </xdr:from>
    <xdr:to>
      <xdr:col>7</xdr:col>
      <xdr:colOff>9525</xdr:colOff>
      <xdr:row>48</xdr:row>
      <xdr:rowOff>0</xdr:rowOff>
    </xdr:to>
    <xdr:sp macro="" textlink="">
      <xdr:nvSpPr>
        <xdr:cNvPr id="184" name="Line 148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>
          <a:spLocks noChangeShapeType="1"/>
        </xdr:cNvSpPr>
      </xdr:nvSpPr>
      <xdr:spPr bwMode="auto">
        <a:xfrm>
          <a:off x="5648325" y="143637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85" name="Line 15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>
          <a:spLocks noChangeShapeType="1"/>
        </xdr:cNvSpPr>
      </xdr:nvSpPr>
      <xdr:spPr bwMode="auto">
        <a:xfrm>
          <a:off x="12401550" y="138588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9525</xdr:rowOff>
    </xdr:to>
    <xdr:sp macro="" textlink="">
      <xdr:nvSpPr>
        <xdr:cNvPr id="186" name="Line 135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>
          <a:spLocks noChangeShapeType="1"/>
        </xdr:cNvSpPr>
      </xdr:nvSpPr>
      <xdr:spPr bwMode="auto">
        <a:xfrm>
          <a:off x="1962150" y="138588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87" name="Line 13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9525</xdr:rowOff>
    </xdr:from>
    <xdr:to>
      <xdr:col>5</xdr:col>
      <xdr:colOff>0</xdr:colOff>
      <xdr:row>46</xdr:row>
      <xdr:rowOff>9525</xdr:rowOff>
    </xdr:to>
    <xdr:sp macro="" textlink="">
      <xdr:nvSpPr>
        <xdr:cNvPr id="188" name="Line 13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>
          <a:spLocks noChangeShapeType="1"/>
        </xdr:cNvSpPr>
      </xdr:nvSpPr>
      <xdr:spPr bwMode="auto">
        <a:xfrm>
          <a:off x="3362325" y="138684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46</xdr:row>
      <xdr:rowOff>0</xdr:rowOff>
    </xdr:from>
    <xdr:to>
      <xdr:col>4</xdr:col>
      <xdr:colOff>1190625</xdr:colOff>
      <xdr:row>47</xdr:row>
      <xdr:rowOff>9525</xdr:rowOff>
    </xdr:to>
    <xdr:sp macro="" textlink="">
      <xdr:nvSpPr>
        <xdr:cNvPr id="189" name="Line 138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>
          <a:spLocks noChangeShapeType="1"/>
        </xdr:cNvSpPr>
      </xdr:nvSpPr>
      <xdr:spPr bwMode="auto">
        <a:xfrm>
          <a:off x="335280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46</xdr:row>
      <xdr:rowOff>266700</xdr:rowOff>
    </xdr:from>
    <xdr:to>
      <xdr:col>7</xdr:col>
      <xdr:colOff>0</xdr:colOff>
      <xdr:row>48</xdr:row>
      <xdr:rowOff>19050</xdr:rowOff>
    </xdr:to>
    <xdr:sp macro="" textlink="">
      <xdr:nvSpPr>
        <xdr:cNvPr id="190" name="Line 147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>
          <a:spLocks noChangeShapeType="1"/>
        </xdr:cNvSpPr>
      </xdr:nvSpPr>
      <xdr:spPr bwMode="auto">
        <a:xfrm>
          <a:off x="5638800" y="14354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45</xdr:row>
      <xdr:rowOff>0</xdr:rowOff>
    </xdr:from>
    <xdr:to>
      <xdr:col>12</xdr:col>
      <xdr:colOff>0</xdr:colOff>
      <xdr:row>46</xdr:row>
      <xdr:rowOff>9525</xdr:rowOff>
    </xdr:to>
    <xdr:sp macro="" textlink="">
      <xdr:nvSpPr>
        <xdr:cNvPr id="191" name="Line 15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>
          <a:spLocks noChangeShapeType="1"/>
        </xdr:cNvSpPr>
      </xdr:nvSpPr>
      <xdr:spPr bwMode="auto">
        <a:xfrm>
          <a:off x="12392025" y="138588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47</xdr:row>
      <xdr:rowOff>0</xdr:rowOff>
    </xdr:from>
    <xdr:to>
      <xdr:col>14</xdr:col>
      <xdr:colOff>0</xdr:colOff>
      <xdr:row>48</xdr:row>
      <xdr:rowOff>9525</xdr:rowOff>
    </xdr:to>
    <xdr:sp macro="" textlink="">
      <xdr:nvSpPr>
        <xdr:cNvPr id="192" name="Line 14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>
          <a:spLocks noChangeShapeType="1"/>
        </xdr:cNvSpPr>
      </xdr:nvSpPr>
      <xdr:spPr bwMode="auto">
        <a:xfrm>
          <a:off x="15049500" y="14354175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46</xdr:row>
      <xdr:rowOff>266700</xdr:rowOff>
    </xdr:from>
    <xdr:to>
      <xdr:col>14</xdr:col>
      <xdr:colOff>0</xdr:colOff>
      <xdr:row>48</xdr:row>
      <xdr:rowOff>19050</xdr:rowOff>
    </xdr:to>
    <xdr:sp macro="" textlink="">
      <xdr:nvSpPr>
        <xdr:cNvPr id="193" name="Line 147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>
          <a:spLocks noChangeShapeType="1"/>
        </xdr:cNvSpPr>
      </xdr:nvSpPr>
      <xdr:spPr bwMode="auto">
        <a:xfrm>
          <a:off x="15430500" y="14354175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94" name="Line 30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>
          <a:spLocks noChangeShapeType="1"/>
        </xdr:cNvSpPr>
      </xdr:nvSpPr>
      <xdr:spPr bwMode="auto">
        <a:xfrm>
          <a:off x="1371600" y="1571625"/>
          <a:ext cx="5905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7</xdr:row>
      <xdr:rowOff>390525</xdr:rowOff>
    </xdr:to>
    <xdr:sp macro="" textlink="">
      <xdr:nvSpPr>
        <xdr:cNvPr id="196" name="Line 29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>
          <a:spLocks noChangeShapeType="1"/>
        </xdr:cNvSpPr>
      </xdr:nvSpPr>
      <xdr:spPr bwMode="auto">
        <a:xfrm>
          <a:off x="3362325" y="2124075"/>
          <a:ext cx="12001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8</xdr:row>
      <xdr:rowOff>390525</xdr:rowOff>
    </xdr:to>
    <xdr:sp macro="" textlink="">
      <xdr:nvSpPr>
        <xdr:cNvPr id="197" name="Line 33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>
          <a:spLocks noChangeShapeType="1"/>
        </xdr:cNvSpPr>
      </xdr:nvSpPr>
      <xdr:spPr bwMode="auto">
        <a:xfrm>
          <a:off x="1371600" y="2400300"/>
          <a:ext cx="5905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8</xdr:row>
      <xdr:rowOff>390525</xdr:rowOff>
    </xdr:from>
    <xdr:to>
      <xdr:col>3</xdr:col>
      <xdr:colOff>0</xdr:colOff>
      <xdr:row>10</xdr:row>
      <xdr:rowOff>0</xdr:rowOff>
    </xdr:to>
    <xdr:sp macro="" textlink="">
      <xdr:nvSpPr>
        <xdr:cNvPr id="198" name="Line 35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ChangeShapeType="1"/>
        </xdr:cNvSpPr>
      </xdr:nvSpPr>
      <xdr:spPr bwMode="auto">
        <a:xfrm>
          <a:off x="1371600" y="2676525"/>
          <a:ext cx="5905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10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199" name="Line 36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>
          <a:spLocks noChangeShapeType="1"/>
        </xdr:cNvSpPr>
      </xdr:nvSpPr>
      <xdr:spPr bwMode="auto">
        <a:xfrm>
          <a:off x="1381125" y="2952750"/>
          <a:ext cx="581025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8</xdr:row>
      <xdr:rowOff>0</xdr:rowOff>
    </xdr:from>
    <xdr:to>
      <xdr:col>4</xdr:col>
      <xdr:colOff>0</xdr:colOff>
      <xdr:row>9</xdr:row>
      <xdr:rowOff>0</xdr:rowOff>
    </xdr:to>
    <xdr:sp macro="" textlink="">
      <xdr:nvSpPr>
        <xdr:cNvPr id="200" name="Line 38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>
          <a:spLocks noChangeShapeType="1"/>
        </xdr:cNvSpPr>
      </xdr:nvSpPr>
      <xdr:spPr bwMode="auto">
        <a:xfrm>
          <a:off x="1971675" y="2400300"/>
          <a:ext cx="13906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9</xdr:row>
      <xdr:rowOff>9525</xdr:rowOff>
    </xdr:from>
    <xdr:to>
      <xdr:col>4</xdr:col>
      <xdr:colOff>0</xdr:colOff>
      <xdr:row>10</xdr:row>
      <xdr:rowOff>0</xdr:rowOff>
    </xdr:to>
    <xdr:sp macro="" textlink="">
      <xdr:nvSpPr>
        <xdr:cNvPr id="201" name="Line 3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>
          <a:spLocks noChangeShapeType="1"/>
        </xdr:cNvSpPr>
      </xdr:nvSpPr>
      <xdr:spPr bwMode="auto">
        <a:xfrm>
          <a:off x="1962150" y="2686050"/>
          <a:ext cx="140017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9</xdr:row>
      <xdr:rowOff>390525</xdr:rowOff>
    </xdr:from>
    <xdr:to>
      <xdr:col>4</xdr:col>
      <xdr:colOff>0</xdr:colOff>
      <xdr:row>10</xdr:row>
      <xdr:rowOff>390525</xdr:rowOff>
    </xdr:to>
    <xdr:sp macro="" textlink="">
      <xdr:nvSpPr>
        <xdr:cNvPr id="202" name="Line 40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>
          <a:spLocks noChangeShapeType="1"/>
        </xdr:cNvSpPr>
      </xdr:nvSpPr>
      <xdr:spPr bwMode="auto">
        <a:xfrm>
          <a:off x="1962150" y="2952750"/>
          <a:ext cx="1400175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390525</xdr:rowOff>
    </xdr:from>
    <xdr:to>
      <xdr:col>4</xdr:col>
      <xdr:colOff>0</xdr:colOff>
      <xdr:row>13</xdr:row>
      <xdr:rowOff>0</xdr:rowOff>
    </xdr:to>
    <xdr:sp macro="" textlink="">
      <xdr:nvSpPr>
        <xdr:cNvPr id="203" name="Line 4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>
          <a:spLocks noChangeShapeType="1"/>
        </xdr:cNvSpPr>
      </xdr:nvSpPr>
      <xdr:spPr bwMode="auto">
        <a:xfrm>
          <a:off x="1962150" y="3505200"/>
          <a:ext cx="1400175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0</xdr:colOff>
      <xdr:row>12</xdr:row>
      <xdr:rowOff>390525</xdr:rowOff>
    </xdr:to>
    <xdr:sp macro="" textlink="">
      <xdr:nvSpPr>
        <xdr:cNvPr id="204" name="Line 4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>
          <a:spLocks noChangeShapeType="1"/>
        </xdr:cNvSpPr>
      </xdr:nvSpPr>
      <xdr:spPr bwMode="auto">
        <a:xfrm>
          <a:off x="1371600" y="3505200"/>
          <a:ext cx="590550" cy="276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37</xdr:row>
      <xdr:rowOff>9525</xdr:rowOff>
    </xdr:from>
    <xdr:to>
      <xdr:col>3</xdr:col>
      <xdr:colOff>1390650</xdr:colOff>
      <xdr:row>38</xdr:row>
      <xdr:rowOff>0</xdr:rowOff>
    </xdr:to>
    <xdr:sp macro="" textlink="">
      <xdr:nvSpPr>
        <xdr:cNvPr id="195" name="Line 13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>
          <a:spLocks noChangeShapeType="1"/>
        </xdr:cNvSpPr>
      </xdr:nvSpPr>
      <xdr:spPr bwMode="auto">
        <a:xfrm>
          <a:off x="1971675" y="9820275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3</xdr:col>
      <xdr:colOff>1390650</xdr:colOff>
      <xdr:row>38</xdr:row>
      <xdr:rowOff>266700</xdr:rowOff>
    </xdr:to>
    <xdr:sp macro="" textlink="">
      <xdr:nvSpPr>
        <xdr:cNvPr id="205" name="Line 140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>
          <a:spLocks noChangeShapeType="1"/>
        </xdr:cNvSpPr>
      </xdr:nvSpPr>
      <xdr:spPr bwMode="auto">
        <a:xfrm>
          <a:off x="1962150" y="10058400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19050</xdr:rowOff>
    </xdr:from>
    <xdr:to>
      <xdr:col>4</xdr:col>
      <xdr:colOff>1190625</xdr:colOff>
      <xdr:row>38</xdr:row>
      <xdr:rowOff>9525</xdr:rowOff>
    </xdr:to>
    <xdr:sp macro="" textlink="">
      <xdr:nvSpPr>
        <xdr:cNvPr id="206" name="Line 14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>
          <a:spLocks noChangeShapeType="1"/>
        </xdr:cNvSpPr>
      </xdr:nvSpPr>
      <xdr:spPr bwMode="auto">
        <a:xfrm>
          <a:off x="3362325" y="9829800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9525</xdr:rowOff>
    </xdr:from>
    <xdr:to>
      <xdr:col>5</xdr:col>
      <xdr:colOff>9525</xdr:colOff>
      <xdr:row>39</xdr:row>
      <xdr:rowOff>0</xdr:rowOff>
    </xdr:to>
    <xdr:sp macro="" textlink="">
      <xdr:nvSpPr>
        <xdr:cNvPr id="207" name="Line 142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>
          <a:spLocks noChangeShapeType="1"/>
        </xdr:cNvSpPr>
      </xdr:nvSpPr>
      <xdr:spPr bwMode="auto">
        <a:xfrm>
          <a:off x="3362325" y="10067925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9525</xdr:rowOff>
    </xdr:from>
    <xdr:to>
      <xdr:col>4</xdr:col>
      <xdr:colOff>0</xdr:colOff>
      <xdr:row>42</xdr:row>
      <xdr:rowOff>9525</xdr:rowOff>
    </xdr:to>
    <xdr:sp macro="" textlink="">
      <xdr:nvSpPr>
        <xdr:cNvPr id="208" name="Line 143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>
          <a:spLocks noChangeShapeType="1"/>
        </xdr:cNvSpPr>
      </xdr:nvSpPr>
      <xdr:spPr bwMode="auto">
        <a:xfrm>
          <a:off x="1962150" y="1081087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9525</xdr:rowOff>
    </xdr:from>
    <xdr:to>
      <xdr:col>4</xdr:col>
      <xdr:colOff>1190625</xdr:colOff>
      <xdr:row>41</xdr:row>
      <xdr:rowOff>266700</xdr:rowOff>
    </xdr:to>
    <xdr:sp macro="" textlink="">
      <xdr:nvSpPr>
        <xdr:cNvPr id="209" name="Line 144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>
          <a:spLocks noChangeShapeType="1"/>
        </xdr:cNvSpPr>
      </xdr:nvSpPr>
      <xdr:spPr bwMode="auto">
        <a:xfrm>
          <a:off x="3371850" y="10810875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42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210" name="Line 145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>
          <a:spLocks noChangeShapeType="1"/>
        </xdr:cNvSpPr>
      </xdr:nvSpPr>
      <xdr:spPr bwMode="auto">
        <a:xfrm>
          <a:off x="1952625" y="11049000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43</xdr:row>
      <xdr:rowOff>9525</xdr:rowOff>
    </xdr:to>
    <xdr:sp macro="" textlink="">
      <xdr:nvSpPr>
        <xdr:cNvPr id="211" name="Line 146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>
          <a:spLocks noChangeShapeType="1"/>
        </xdr:cNvSpPr>
      </xdr:nvSpPr>
      <xdr:spPr bwMode="auto">
        <a:xfrm>
          <a:off x="3371850" y="11049000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39</xdr:row>
      <xdr:rowOff>9525</xdr:rowOff>
    </xdr:from>
    <xdr:to>
      <xdr:col>7</xdr:col>
      <xdr:colOff>9525</xdr:colOff>
      <xdr:row>40</xdr:row>
      <xdr:rowOff>0</xdr:rowOff>
    </xdr:to>
    <xdr:sp macro="" textlink="">
      <xdr:nvSpPr>
        <xdr:cNvPr id="212" name="Line 148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>
          <a:spLocks noChangeShapeType="1"/>
        </xdr:cNvSpPr>
      </xdr:nvSpPr>
      <xdr:spPr bwMode="auto">
        <a:xfrm>
          <a:off x="5648325" y="103155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43</xdr:row>
      <xdr:rowOff>0</xdr:rowOff>
    </xdr:from>
    <xdr:to>
      <xdr:col>7</xdr:col>
      <xdr:colOff>0</xdr:colOff>
      <xdr:row>44</xdr:row>
      <xdr:rowOff>9525</xdr:rowOff>
    </xdr:to>
    <xdr:sp macro="" textlink="">
      <xdr:nvSpPr>
        <xdr:cNvPr id="213" name="Line 149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>
          <a:spLocks noChangeShapeType="1"/>
        </xdr:cNvSpPr>
      </xdr:nvSpPr>
      <xdr:spPr bwMode="auto">
        <a:xfrm>
          <a:off x="5629275" y="11296650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214" name="Line 15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>
          <a:spLocks noChangeShapeType="1"/>
        </xdr:cNvSpPr>
      </xdr:nvSpPr>
      <xdr:spPr bwMode="auto">
        <a:xfrm>
          <a:off x="12401550" y="98107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9525</xdr:rowOff>
    </xdr:from>
    <xdr:to>
      <xdr:col>12</xdr:col>
      <xdr:colOff>0</xdr:colOff>
      <xdr:row>42</xdr:row>
      <xdr:rowOff>0</xdr:rowOff>
    </xdr:to>
    <xdr:sp macro="" textlink="">
      <xdr:nvSpPr>
        <xdr:cNvPr id="215" name="Line 152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>
          <a:spLocks noChangeShapeType="1"/>
        </xdr:cNvSpPr>
      </xdr:nvSpPr>
      <xdr:spPr bwMode="auto">
        <a:xfrm>
          <a:off x="12401550" y="108108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38</xdr:row>
      <xdr:rowOff>9525</xdr:rowOff>
    </xdr:to>
    <xdr:sp macro="" textlink="">
      <xdr:nvSpPr>
        <xdr:cNvPr id="216" name="Line 135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>
          <a:spLocks noChangeShapeType="1"/>
        </xdr:cNvSpPr>
      </xdr:nvSpPr>
      <xdr:spPr bwMode="auto">
        <a:xfrm>
          <a:off x="1962150" y="9810750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217" name="Line 136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>
          <a:spLocks noChangeShapeType="1"/>
        </xdr:cNvSpPr>
      </xdr:nvSpPr>
      <xdr:spPr bwMode="auto">
        <a:xfrm>
          <a:off x="1962150" y="100584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9525</xdr:rowOff>
    </xdr:from>
    <xdr:to>
      <xdr:col>5</xdr:col>
      <xdr:colOff>0</xdr:colOff>
      <xdr:row>38</xdr:row>
      <xdr:rowOff>9525</xdr:rowOff>
    </xdr:to>
    <xdr:sp macro="" textlink="">
      <xdr:nvSpPr>
        <xdr:cNvPr id="218" name="Line 137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>
          <a:spLocks noChangeShapeType="1"/>
        </xdr:cNvSpPr>
      </xdr:nvSpPr>
      <xdr:spPr bwMode="auto">
        <a:xfrm>
          <a:off x="3362325" y="9820275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38</xdr:row>
      <xdr:rowOff>0</xdr:rowOff>
    </xdr:from>
    <xdr:to>
      <xdr:col>4</xdr:col>
      <xdr:colOff>1190625</xdr:colOff>
      <xdr:row>39</xdr:row>
      <xdr:rowOff>9525</xdr:rowOff>
    </xdr:to>
    <xdr:sp macro="" textlink="">
      <xdr:nvSpPr>
        <xdr:cNvPr id="219" name="Line 138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>
          <a:spLocks noChangeShapeType="1"/>
        </xdr:cNvSpPr>
      </xdr:nvSpPr>
      <xdr:spPr bwMode="auto">
        <a:xfrm>
          <a:off x="3352800" y="10058400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38</xdr:row>
      <xdr:rowOff>266700</xdr:rowOff>
    </xdr:from>
    <xdr:to>
      <xdr:col>7</xdr:col>
      <xdr:colOff>0</xdr:colOff>
      <xdr:row>40</xdr:row>
      <xdr:rowOff>19050</xdr:rowOff>
    </xdr:to>
    <xdr:sp macro="" textlink="">
      <xdr:nvSpPr>
        <xdr:cNvPr id="220" name="Line 147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>
          <a:spLocks noChangeShapeType="1"/>
        </xdr:cNvSpPr>
      </xdr:nvSpPr>
      <xdr:spPr bwMode="auto">
        <a:xfrm>
          <a:off x="5638800" y="10306050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38</xdr:row>
      <xdr:rowOff>9525</xdr:rowOff>
    </xdr:to>
    <xdr:sp macro="" textlink="">
      <xdr:nvSpPr>
        <xdr:cNvPr id="221" name="Line 15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>
          <a:spLocks noChangeShapeType="1"/>
        </xdr:cNvSpPr>
      </xdr:nvSpPr>
      <xdr:spPr bwMode="auto">
        <a:xfrm>
          <a:off x="12392025" y="98107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41</xdr:row>
      <xdr:rowOff>9525</xdr:rowOff>
    </xdr:from>
    <xdr:to>
      <xdr:col>3</xdr:col>
      <xdr:colOff>1390650</xdr:colOff>
      <xdr:row>42</xdr:row>
      <xdr:rowOff>0</xdr:rowOff>
    </xdr:to>
    <xdr:sp macro="" textlink="">
      <xdr:nvSpPr>
        <xdr:cNvPr id="222" name="Line 139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>
          <a:spLocks noChangeShapeType="1"/>
        </xdr:cNvSpPr>
      </xdr:nvSpPr>
      <xdr:spPr bwMode="auto">
        <a:xfrm>
          <a:off x="1971675" y="10810875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1390650</xdr:colOff>
      <xdr:row>42</xdr:row>
      <xdr:rowOff>266700</xdr:rowOff>
    </xdr:to>
    <xdr:sp macro="" textlink="">
      <xdr:nvSpPr>
        <xdr:cNvPr id="223" name="Line 140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>
          <a:spLocks noChangeShapeType="1"/>
        </xdr:cNvSpPr>
      </xdr:nvSpPr>
      <xdr:spPr bwMode="auto">
        <a:xfrm>
          <a:off x="1962150" y="11049000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19050</xdr:rowOff>
    </xdr:from>
    <xdr:to>
      <xdr:col>4</xdr:col>
      <xdr:colOff>1190625</xdr:colOff>
      <xdr:row>42</xdr:row>
      <xdr:rowOff>9525</xdr:rowOff>
    </xdr:to>
    <xdr:sp macro="" textlink="">
      <xdr:nvSpPr>
        <xdr:cNvPr id="224" name="Line 14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>
          <a:spLocks noChangeShapeType="1"/>
        </xdr:cNvSpPr>
      </xdr:nvSpPr>
      <xdr:spPr bwMode="auto">
        <a:xfrm>
          <a:off x="3362325" y="10820400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9525</xdr:rowOff>
    </xdr:from>
    <xdr:to>
      <xdr:col>5</xdr:col>
      <xdr:colOff>9525</xdr:colOff>
      <xdr:row>43</xdr:row>
      <xdr:rowOff>0</xdr:rowOff>
    </xdr:to>
    <xdr:sp macro="" textlink="">
      <xdr:nvSpPr>
        <xdr:cNvPr id="225" name="Line 142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>
          <a:spLocks noChangeShapeType="1"/>
        </xdr:cNvSpPr>
      </xdr:nvSpPr>
      <xdr:spPr bwMode="auto">
        <a:xfrm>
          <a:off x="3362325" y="11058525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43</xdr:row>
      <xdr:rowOff>9525</xdr:rowOff>
    </xdr:from>
    <xdr:to>
      <xdr:col>7</xdr:col>
      <xdr:colOff>9525</xdr:colOff>
      <xdr:row>44</xdr:row>
      <xdr:rowOff>0</xdr:rowOff>
    </xdr:to>
    <xdr:sp macro="" textlink="">
      <xdr:nvSpPr>
        <xdr:cNvPr id="226" name="Line 148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>
          <a:spLocks noChangeShapeType="1"/>
        </xdr:cNvSpPr>
      </xdr:nvSpPr>
      <xdr:spPr bwMode="auto">
        <a:xfrm>
          <a:off x="5648325" y="113061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227" name="Line 15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>
          <a:spLocks noChangeShapeType="1"/>
        </xdr:cNvSpPr>
      </xdr:nvSpPr>
      <xdr:spPr bwMode="auto">
        <a:xfrm>
          <a:off x="12401550" y="108013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9525</xdr:rowOff>
    </xdr:to>
    <xdr:sp macro="" textlink="">
      <xdr:nvSpPr>
        <xdr:cNvPr id="228" name="Line 135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>
          <a:spLocks noChangeShapeType="1"/>
        </xdr:cNvSpPr>
      </xdr:nvSpPr>
      <xdr:spPr bwMode="auto">
        <a:xfrm>
          <a:off x="1962150" y="10801350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229" name="Line 136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>
          <a:spLocks noChangeShapeType="1"/>
        </xdr:cNvSpPr>
      </xdr:nvSpPr>
      <xdr:spPr bwMode="auto">
        <a:xfrm>
          <a:off x="1962150" y="110490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9525</xdr:rowOff>
    </xdr:from>
    <xdr:to>
      <xdr:col>5</xdr:col>
      <xdr:colOff>0</xdr:colOff>
      <xdr:row>42</xdr:row>
      <xdr:rowOff>9525</xdr:rowOff>
    </xdr:to>
    <xdr:sp macro="" textlink="">
      <xdr:nvSpPr>
        <xdr:cNvPr id="230" name="Line 137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>
          <a:spLocks noChangeShapeType="1"/>
        </xdr:cNvSpPr>
      </xdr:nvSpPr>
      <xdr:spPr bwMode="auto">
        <a:xfrm>
          <a:off x="3362325" y="10810875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42</xdr:row>
      <xdr:rowOff>0</xdr:rowOff>
    </xdr:from>
    <xdr:to>
      <xdr:col>4</xdr:col>
      <xdr:colOff>1190625</xdr:colOff>
      <xdr:row>43</xdr:row>
      <xdr:rowOff>9525</xdr:rowOff>
    </xdr:to>
    <xdr:sp macro="" textlink="">
      <xdr:nvSpPr>
        <xdr:cNvPr id="231" name="Line 138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>
          <a:spLocks noChangeShapeType="1"/>
        </xdr:cNvSpPr>
      </xdr:nvSpPr>
      <xdr:spPr bwMode="auto">
        <a:xfrm>
          <a:off x="3352800" y="11049000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42</xdr:row>
      <xdr:rowOff>266700</xdr:rowOff>
    </xdr:from>
    <xdr:to>
      <xdr:col>7</xdr:col>
      <xdr:colOff>0</xdr:colOff>
      <xdr:row>44</xdr:row>
      <xdr:rowOff>19050</xdr:rowOff>
    </xdr:to>
    <xdr:sp macro="" textlink="">
      <xdr:nvSpPr>
        <xdr:cNvPr id="232" name="Line 147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>
          <a:spLocks noChangeShapeType="1"/>
        </xdr:cNvSpPr>
      </xdr:nvSpPr>
      <xdr:spPr bwMode="auto">
        <a:xfrm>
          <a:off x="5638800" y="11296650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9525</xdr:rowOff>
    </xdr:to>
    <xdr:sp macro="" textlink="">
      <xdr:nvSpPr>
        <xdr:cNvPr id="233" name="Line 150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>
          <a:spLocks noChangeShapeType="1"/>
        </xdr:cNvSpPr>
      </xdr:nvSpPr>
      <xdr:spPr bwMode="auto">
        <a:xfrm>
          <a:off x="12392025" y="108013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9525</xdr:rowOff>
    </xdr:from>
    <xdr:to>
      <xdr:col>5</xdr:col>
      <xdr:colOff>0</xdr:colOff>
      <xdr:row>7</xdr:row>
      <xdr:rowOff>0</xdr:rowOff>
    </xdr:to>
    <xdr:sp macro="" textlink="">
      <xdr:nvSpPr>
        <xdr:cNvPr id="2" name="Line 2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3362325" y="2228850"/>
          <a:ext cx="1200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9525</xdr:rowOff>
    </xdr:from>
    <xdr:to>
      <xdr:col>4</xdr:col>
      <xdr:colOff>0</xdr:colOff>
      <xdr:row>12</xdr:row>
      <xdr:rowOff>0</xdr:rowOff>
    </xdr:to>
    <xdr:sp macro="" textlink="">
      <xdr:nvSpPr>
        <xdr:cNvPr id="3" name="Line 4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962150" y="346710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24</xdr:row>
      <xdr:rowOff>9525</xdr:rowOff>
    </xdr:from>
    <xdr:to>
      <xdr:col>4</xdr:col>
      <xdr:colOff>0</xdr:colOff>
      <xdr:row>25</xdr:row>
      <xdr:rowOff>9525</xdr:rowOff>
    </xdr:to>
    <xdr:sp macro="" textlink="">
      <xdr:nvSpPr>
        <xdr:cNvPr id="4" name="Line 4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1962150" y="668655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9525</xdr:rowOff>
    </xdr:to>
    <xdr:sp macro="" textlink="">
      <xdr:nvSpPr>
        <xdr:cNvPr id="5" name="Line 4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3362325" y="66770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" textlink="">
      <xdr:nvSpPr>
        <xdr:cNvPr id="6" name="Line 4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1371600" y="7172325"/>
          <a:ext cx="5905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7" name="Line 4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1962150" y="71723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8" name="Line 4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1962150" y="741997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1343025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9" name="Line 5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3305175" y="7419975"/>
          <a:ext cx="12573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25</xdr:row>
      <xdr:rowOff>0</xdr:rowOff>
    </xdr:from>
    <xdr:to>
      <xdr:col>3</xdr:col>
      <xdr:colOff>981075</xdr:colOff>
      <xdr:row>25</xdr:row>
      <xdr:rowOff>266700</xdr:rowOff>
    </xdr:to>
    <xdr:sp macro="" textlink="">
      <xdr:nvSpPr>
        <xdr:cNvPr id="10" name="テキスト 5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1971675" y="6924675"/>
          <a:ext cx="9715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明朝"/>
            </a:rPr>
            <a:t>製版単価の</a:t>
          </a:r>
        </a:p>
      </xdr:txBody>
    </xdr:sp>
    <xdr:clientData/>
  </xdr:twoCellAnchor>
  <xdr:twoCellAnchor>
    <xdr:from>
      <xdr:col>3</xdr:col>
      <xdr:colOff>0</xdr:colOff>
      <xdr:row>29</xdr:row>
      <xdr:rowOff>9525</xdr:rowOff>
    </xdr:from>
    <xdr:to>
      <xdr:col>5</xdr:col>
      <xdr:colOff>0</xdr:colOff>
      <xdr:row>31</xdr:row>
      <xdr:rowOff>0</xdr:rowOff>
    </xdr:to>
    <xdr:sp macro="" textlink="">
      <xdr:nvSpPr>
        <xdr:cNvPr id="11" name="Line 6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1962150" y="7924800"/>
          <a:ext cx="26003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9525</xdr:rowOff>
    </xdr:from>
    <xdr:to>
      <xdr:col>5</xdr:col>
      <xdr:colOff>0</xdr:colOff>
      <xdr:row>30</xdr:row>
      <xdr:rowOff>0</xdr:rowOff>
    </xdr:to>
    <xdr:sp macro="" textlink="">
      <xdr:nvSpPr>
        <xdr:cNvPr id="12" name="Line 6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>
          <a:off x="3362325" y="7924800"/>
          <a:ext cx="1200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9525</xdr:rowOff>
    </xdr:to>
    <xdr:sp macro="" textlink="">
      <xdr:nvSpPr>
        <xdr:cNvPr id="13" name="Line 69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1962150" y="816292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31</xdr:row>
      <xdr:rowOff>0</xdr:rowOff>
    </xdr:from>
    <xdr:to>
      <xdr:col>7</xdr:col>
      <xdr:colOff>0</xdr:colOff>
      <xdr:row>31</xdr:row>
      <xdr:rowOff>323850</xdr:rowOff>
    </xdr:to>
    <xdr:sp macro="" textlink="">
      <xdr:nvSpPr>
        <xdr:cNvPr id="14" name="Line 70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5648325" y="8410575"/>
          <a:ext cx="12287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15" name="Line 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>
          <a:off x="8324850" y="6924675"/>
          <a:ext cx="11715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26</xdr:row>
      <xdr:rowOff>9525</xdr:rowOff>
    </xdr:to>
    <xdr:sp macro="" textlink="">
      <xdr:nvSpPr>
        <xdr:cNvPr id="16" name="Line 79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9505950" y="6924675"/>
          <a:ext cx="14382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24</xdr:row>
      <xdr:rowOff>0</xdr:rowOff>
    </xdr:from>
    <xdr:to>
      <xdr:col>12</xdr:col>
      <xdr:colOff>0</xdr:colOff>
      <xdr:row>25</xdr:row>
      <xdr:rowOff>9525</xdr:rowOff>
    </xdr:to>
    <xdr:sp macro="" textlink="">
      <xdr:nvSpPr>
        <xdr:cNvPr id="17" name="Line 80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>
          <a:off x="12401550" y="6677025"/>
          <a:ext cx="1581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25</xdr:row>
      <xdr:rowOff>9525</xdr:rowOff>
    </xdr:from>
    <xdr:to>
      <xdr:col>12</xdr:col>
      <xdr:colOff>0</xdr:colOff>
      <xdr:row>25</xdr:row>
      <xdr:rowOff>323850</xdr:rowOff>
    </xdr:to>
    <xdr:sp macro="" textlink="">
      <xdr:nvSpPr>
        <xdr:cNvPr id="18" name="Line 8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12401550" y="69342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1447800</xdr:colOff>
      <xdr:row>30</xdr:row>
      <xdr:rowOff>0</xdr:rowOff>
    </xdr:from>
    <xdr:to>
      <xdr:col>8</xdr:col>
      <xdr:colOff>1000125</xdr:colOff>
      <xdr:row>31</xdr:row>
      <xdr:rowOff>9525</xdr:rowOff>
    </xdr:to>
    <xdr:sp macro="" textlink="">
      <xdr:nvSpPr>
        <xdr:cNvPr id="19" name="Line 8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8324850" y="8162925"/>
          <a:ext cx="10001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0" name="Line 9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8324850" y="8410575"/>
          <a:ext cx="11811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31</xdr:row>
      <xdr:rowOff>9525</xdr:rowOff>
    </xdr:from>
    <xdr:to>
      <xdr:col>10</xdr:col>
      <xdr:colOff>0</xdr:colOff>
      <xdr:row>32</xdr:row>
      <xdr:rowOff>0</xdr:rowOff>
    </xdr:to>
    <xdr:sp macro="" textlink="">
      <xdr:nvSpPr>
        <xdr:cNvPr id="21" name="Line 9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9505950" y="8420100"/>
          <a:ext cx="14382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323850</xdr:rowOff>
    </xdr:to>
    <xdr:sp macro="" textlink="">
      <xdr:nvSpPr>
        <xdr:cNvPr id="22" name="Line 9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2392025" y="8410575"/>
          <a:ext cx="16002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30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23" name="Line 9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12401550" y="816292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29</xdr:row>
      <xdr:rowOff>9525</xdr:rowOff>
    </xdr:from>
    <xdr:to>
      <xdr:col>12</xdr:col>
      <xdr:colOff>0</xdr:colOff>
      <xdr:row>30</xdr:row>
      <xdr:rowOff>0</xdr:rowOff>
    </xdr:to>
    <xdr:sp macro="" textlink="">
      <xdr:nvSpPr>
        <xdr:cNvPr id="24" name="Line 9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12392025" y="7924800"/>
          <a:ext cx="1590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</xdr:colOff>
      <xdr:row>17</xdr:row>
      <xdr:rowOff>323850</xdr:rowOff>
    </xdr:from>
    <xdr:to>
      <xdr:col>3</xdr:col>
      <xdr:colOff>9525</xdr:colOff>
      <xdr:row>18</xdr:row>
      <xdr:rowOff>323850</xdr:rowOff>
    </xdr:to>
    <xdr:sp macro="" textlink="">
      <xdr:nvSpPr>
        <xdr:cNvPr id="25" name="Line 110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1381125" y="5191125"/>
          <a:ext cx="5905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17</xdr:row>
      <xdr:rowOff>9525</xdr:rowOff>
    </xdr:from>
    <xdr:to>
      <xdr:col>4</xdr:col>
      <xdr:colOff>0</xdr:colOff>
      <xdr:row>18</xdr:row>
      <xdr:rowOff>0</xdr:rowOff>
    </xdr:to>
    <xdr:sp macro="" textlink="">
      <xdr:nvSpPr>
        <xdr:cNvPr id="26" name="Line 11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1962150" y="495300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9525</xdr:rowOff>
    </xdr:from>
    <xdr:to>
      <xdr:col>4</xdr:col>
      <xdr:colOff>0</xdr:colOff>
      <xdr:row>18</xdr:row>
      <xdr:rowOff>323850</xdr:rowOff>
    </xdr:to>
    <xdr:sp macro="" textlink="">
      <xdr:nvSpPr>
        <xdr:cNvPr id="27" name="Line 11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1962150" y="5200650"/>
          <a:ext cx="14001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33</xdr:row>
      <xdr:rowOff>0</xdr:rowOff>
    </xdr:from>
    <xdr:to>
      <xdr:col>4</xdr:col>
      <xdr:colOff>0</xdr:colOff>
      <xdr:row>34</xdr:row>
      <xdr:rowOff>9525</xdr:rowOff>
    </xdr:to>
    <xdr:sp macro="" textlink="">
      <xdr:nvSpPr>
        <xdr:cNvPr id="28" name="Line 13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1962150" y="89058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9" name="Line 136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1962150" y="91535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33</xdr:row>
      <xdr:rowOff>9525</xdr:rowOff>
    </xdr:from>
    <xdr:to>
      <xdr:col>5</xdr:col>
      <xdr:colOff>0</xdr:colOff>
      <xdr:row>34</xdr:row>
      <xdr:rowOff>9525</xdr:rowOff>
    </xdr:to>
    <xdr:sp macro="" textlink="">
      <xdr:nvSpPr>
        <xdr:cNvPr id="30" name="Line 137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3362325" y="89154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34</xdr:row>
      <xdr:rowOff>0</xdr:rowOff>
    </xdr:from>
    <xdr:to>
      <xdr:col>4</xdr:col>
      <xdr:colOff>1190625</xdr:colOff>
      <xdr:row>35</xdr:row>
      <xdr:rowOff>9525</xdr:rowOff>
    </xdr:to>
    <xdr:sp macro="" textlink="">
      <xdr:nvSpPr>
        <xdr:cNvPr id="31" name="Line 138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3352800" y="9153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37</xdr:row>
      <xdr:rowOff>9525</xdr:rowOff>
    </xdr:from>
    <xdr:to>
      <xdr:col>3</xdr:col>
      <xdr:colOff>1390650</xdr:colOff>
      <xdr:row>38</xdr:row>
      <xdr:rowOff>0</xdr:rowOff>
    </xdr:to>
    <xdr:sp macro="" textlink="">
      <xdr:nvSpPr>
        <xdr:cNvPr id="32" name="Line 13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>
          <a:off x="1971675" y="99060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3</xdr:col>
      <xdr:colOff>1390650</xdr:colOff>
      <xdr:row>38</xdr:row>
      <xdr:rowOff>266700</xdr:rowOff>
    </xdr:to>
    <xdr:sp macro="" textlink="">
      <xdr:nvSpPr>
        <xdr:cNvPr id="33" name="Line 140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ShapeType="1"/>
        </xdr:cNvSpPr>
      </xdr:nvSpPr>
      <xdr:spPr bwMode="auto">
        <a:xfrm>
          <a:off x="1962150" y="101441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19050</xdr:rowOff>
    </xdr:from>
    <xdr:to>
      <xdr:col>4</xdr:col>
      <xdr:colOff>1190625</xdr:colOff>
      <xdr:row>38</xdr:row>
      <xdr:rowOff>9525</xdr:rowOff>
    </xdr:to>
    <xdr:sp macro="" textlink="">
      <xdr:nvSpPr>
        <xdr:cNvPr id="34" name="Line 14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ShapeType="1"/>
        </xdr:cNvSpPr>
      </xdr:nvSpPr>
      <xdr:spPr bwMode="auto">
        <a:xfrm>
          <a:off x="3362325" y="99155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9525</xdr:rowOff>
    </xdr:from>
    <xdr:to>
      <xdr:col>5</xdr:col>
      <xdr:colOff>9525</xdr:colOff>
      <xdr:row>39</xdr:row>
      <xdr:rowOff>0</xdr:rowOff>
    </xdr:to>
    <xdr:sp macro="" textlink="">
      <xdr:nvSpPr>
        <xdr:cNvPr id="35" name="Line 14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ShapeType="1"/>
        </xdr:cNvSpPr>
      </xdr:nvSpPr>
      <xdr:spPr bwMode="auto">
        <a:xfrm>
          <a:off x="3362325" y="101536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9525</xdr:rowOff>
    </xdr:from>
    <xdr:to>
      <xdr:col>4</xdr:col>
      <xdr:colOff>0</xdr:colOff>
      <xdr:row>42</xdr:row>
      <xdr:rowOff>9525</xdr:rowOff>
    </xdr:to>
    <xdr:sp macro="" textlink="">
      <xdr:nvSpPr>
        <xdr:cNvPr id="36" name="Line 143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ShapeType="1"/>
        </xdr:cNvSpPr>
      </xdr:nvSpPr>
      <xdr:spPr bwMode="auto">
        <a:xfrm>
          <a:off x="1962150" y="108966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9525</xdr:rowOff>
    </xdr:from>
    <xdr:to>
      <xdr:col>4</xdr:col>
      <xdr:colOff>1190625</xdr:colOff>
      <xdr:row>41</xdr:row>
      <xdr:rowOff>266700</xdr:rowOff>
    </xdr:to>
    <xdr:sp macro="" textlink="">
      <xdr:nvSpPr>
        <xdr:cNvPr id="37" name="Line 144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>
          <a:off x="3371850" y="108966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42</xdr:row>
      <xdr:rowOff>0</xdr:rowOff>
    </xdr:from>
    <xdr:to>
      <xdr:col>4</xdr:col>
      <xdr:colOff>9525</xdr:colOff>
      <xdr:row>43</xdr:row>
      <xdr:rowOff>0</xdr:rowOff>
    </xdr:to>
    <xdr:sp macro="" textlink="">
      <xdr:nvSpPr>
        <xdr:cNvPr id="38" name="Line 145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>
          <a:off x="1952625" y="111347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43</xdr:row>
      <xdr:rowOff>9525</xdr:rowOff>
    </xdr:to>
    <xdr:sp macro="" textlink="">
      <xdr:nvSpPr>
        <xdr:cNvPr id="39" name="Line 146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>
          <a:off x="337185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34</xdr:row>
      <xdr:rowOff>266700</xdr:rowOff>
    </xdr:from>
    <xdr:to>
      <xdr:col>7</xdr:col>
      <xdr:colOff>0</xdr:colOff>
      <xdr:row>36</xdr:row>
      <xdr:rowOff>19050</xdr:rowOff>
    </xdr:to>
    <xdr:sp macro="" textlink="">
      <xdr:nvSpPr>
        <xdr:cNvPr id="40" name="Line 147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>
          <a:off x="5638800" y="9401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39</xdr:row>
      <xdr:rowOff>9525</xdr:rowOff>
    </xdr:from>
    <xdr:to>
      <xdr:col>7</xdr:col>
      <xdr:colOff>9525</xdr:colOff>
      <xdr:row>40</xdr:row>
      <xdr:rowOff>0</xdr:rowOff>
    </xdr:to>
    <xdr:sp macro="" textlink="">
      <xdr:nvSpPr>
        <xdr:cNvPr id="41" name="Line 148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>
          <a:off x="5648325" y="104013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43</xdr:row>
      <xdr:rowOff>0</xdr:rowOff>
    </xdr:from>
    <xdr:to>
      <xdr:col>7</xdr:col>
      <xdr:colOff>0</xdr:colOff>
      <xdr:row>44</xdr:row>
      <xdr:rowOff>9525</xdr:rowOff>
    </xdr:to>
    <xdr:sp macro="" textlink="">
      <xdr:nvSpPr>
        <xdr:cNvPr id="42" name="Line 149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>
          <a:off x="5629275" y="113823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12</xdr:col>
      <xdr:colOff>0</xdr:colOff>
      <xdr:row>34</xdr:row>
      <xdr:rowOff>9525</xdr:rowOff>
    </xdr:to>
    <xdr:sp macro="" textlink="">
      <xdr:nvSpPr>
        <xdr:cNvPr id="43" name="Line 15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>
          <a:off x="12392025" y="89058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44" name="Line 151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>
          <a:off x="12401550" y="98964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9525</xdr:rowOff>
    </xdr:from>
    <xdr:to>
      <xdr:col>12</xdr:col>
      <xdr:colOff>0</xdr:colOff>
      <xdr:row>42</xdr:row>
      <xdr:rowOff>0</xdr:rowOff>
    </xdr:to>
    <xdr:sp macro="" textlink="">
      <xdr:nvSpPr>
        <xdr:cNvPr id="45" name="Line 152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12401550" y="108966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819150</xdr:colOff>
      <xdr:row>13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46" name="テキスト 158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>
          <a:spLocks noChangeArrowheads="1"/>
        </xdr:cNvSpPr>
      </xdr:nvSpPr>
      <xdr:spPr bwMode="auto">
        <a:xfrm>
          <a:off x="4181475" y="3952875"/>
          <a:ext cx="38100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標準ゴシック"/>
              <a:ea typeface="標準ゴシック"/>
            </a:rPr>
            <a:t>％</a:t>
          </a:r>
        </a:p>
      </xdr:txBody>
    </xdr:sp>
    <xdr:clientData/>
  </xdr:twoCellAnchor>
  <xdr:twoCellAnchor>
    <xdr:from>
      <xdr:col>3</xdr:col>
      <xdr:colOff>923925</xdr:colOff>
      <xdr:row>13</xdr:row>
      <xdr:rowOff>9525</xdr:rowOff>
    </xdr:from>
    <xdr:to>
      <xdr:col>4</xdr:col>
      <xdr:colOff>457200</xdr:colOff>
      <xdr:row>14</xdr:row>
      <xdr:rowOff>0</xdr:rowOff>
    </xdr:to>
    <xdr:sp macro="" textlink="">
      <xdr:nvSpPr>
        <xdr:cNvPr id="47" name="テキスト 159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>
          <a:spLocks noChangeArrowheads="1"/>
        </xdr:cNvSpPr>
      </xdr:nvSpPr>
      <xdr:spPr bwMode="auto">
        <a:xfrm>
          <a:off x="2886075" y="3962400"/>
          <a:ext cx="933450" cy="238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明朝"/>
            </a:rPr>
            <a:t>製版単価の</a:t>
          </a:r>
          <a:endParaRPr lang="ja-JP" altLang="en-US" sz="1100" b="0" i="0" u="none" strike="noStrike" baseline="0">
            <a:solidFill>
              <a:srgbClr val="000000"/>
            </a:solidFill>
            <a:latin typeface="明朝"/>
          </a:endParaRPr>
        </a:p>
        <a:p>
          <a:pPr algn="l" rtl="0"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明朝"/>
          </a:endParaRPr>
        </a:p>
      </xdr:txBody>
    </xdr:sp>
    <xdr:clientData/>
  </xdr:twoCellAnchor>
  <xdr:twoCellAnchor>
    <xdr:from>
      <xdr:col>4</xdr:col>
      <xdr:colOff>0</xdr:colOff>
      <xdr:row>16</xdr:row>
      <xdr:rowOff>9525</xdr:rowOff>
    </xdr:from>
    <xdr:to>
      <xdr:col>4</xdr:col>
      <xdr:colOff>1190625</xdr:colOff>
      <xdr:row>17</xdr:row>
      <xdr:rowOff>0</xdr:rowOff>
    </xdr:to>
    <xdr:sp macro="" textlink="">
      <xdr:nvSpPr>
        <xdr:cNvPr id="48" name="Line 161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>
          <a:off x="3362325" y="4705350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19</xdr:row>
      <xdr:rowOff>0</xdr:rowOff>
    </xdr:from>
    <xdr:to>
      <xdr:col>5</xdr:col>
      <xdr:colOff>0</xdr:colOff>
      <xdr:row>20</xdr:row>
      <xdr:rowOff>0</xdr:rowOff>
    </xdr:to>
    <xdr:sp macro="" textlink="">
      <xdr:nvSpPr>
        <xdr:cNvPr id="49" name="テキスト 16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>
          <a:spLocks noChangeArrowheads="1"/>
        </xdr:cNvSpPr>
      </xdr:nvSpPr>
      <xdr:spPr bwMode="auto">
        <a:xfrm>
          <a:off x="3743325" y="5438775"/>
          <a:ext cx="819150" cy="24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標準ゴシック"/>
              <a:ea typeface="標準ゴシック"/>
            </a:rPr>
            <a:t>％</a:t>
          </a:r>
        </a:p>
        <a:p>
          <a:pPr algn="l" rtl="0">
            <a:lnSpc>
              <a:spcPts val="2200"/>
            </a:lnSpc>
            <a:defRPr sz="1000"/>
          </a:pPr>
          <a:endParaRPr lang="ja-JP" altLang="en-US" sz="1800" b="0" i="0" u="none" strike="noStrike" baseline="0">
            <a:solidFill>
              <a:srgbClr val="000000"/>
            </a:solidFill>
            <a:latin typeface="標準ゴシック"/>
            <a:ea typeface="標準ゴシック"/>
          </a:endParaRPr>
        </a:p>
      </xdr:txBody>
    </xdr:sp>
    <xdr:clientData/>
  </xdr:twoCellAnchor>
  <xdr:twoCellAnchor>
    <xdr:from>
      <xdr:col>16</xdr:col>
      <xdr:colOff>752475</xdr:colOff>
      <xdr:row>2</xdr:row>
      <xdr:rowOff>333375</xdr:rowOff>
    </xdr:from>
    <xdr:to>
      <xdr:col>21</xdr:col>
      <xdr:colOff>762000</xdr:colOff>
      <xdr:row>2</xdr:row>
      <xdr:rowOff>342900</xdr:rowOff>
    </xdr:to>
    <xdr:sp macro="" textlink="">
      <xdr:nvSpPr>
        <xdr:cNvPr id="50" name="Line 2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 flipV="1">
          <a:off x="20888325" y="1209675"/>
          <a:ext cx="7639050" cy="9525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657225</xdr:colOff>
      <xdr:row>2</xdr:row>
      <xdr:rowOff>342900</xdr:rowOff>
    </xdr:from>
    <xdr:to>
      <xdr:col>15</xdr:col>
      <xdr:colOff>895350</xdr:colOff>
      <xdr:row>2</xdr:row>
      <xdr:rowOff>342900</xdr:rowOff>
    </xdr:to>
    <xdr:sp macro="" textlink="">
      <xdr:nvSpPr>
        <xdr:cNvPr id="51" name="Line 13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7534275" y="1219200"/>
          <a:ext cx="11382375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37</xdr:row>
      <xdr:rowOff>0</xdr:rowOff>
    </xdr:from>
    <xdr:to>
      <xdr:col>4</xdr:col>
      <xdr:colOff>0</xdr:colOff>
      <xdr:row>38</xdr:row>
      <xdr:rowOff>9525</xdr:rowOff>
    </xdr:to>
    <xdr:sp macro="" textlink="">
      <xdr:nvSpPr>
        <xdr:cNvPr id="52" name="Line 135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>
          <a:off x="1962150" y="98964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38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3" name="Line 13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1962150" y="101441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9525</xdr:rowOff>
    </xdr:from>
    <xdr:to>
      <xdr:col>5</xdr:col>
      <xdr:colOff>0</xdr:colOff>
      <xdr:row>38</xdr:row>
      <xdr:rowOff>9525</xdr:rowOff>
    </xdr:to>
    <xdr:sp macro="" textlink="">
      <xdr:nvSpPr>
        <xdr:cNvPr id="54" name="Line 137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>
          <a:off x="3362325" y="99060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38</xdr:row>
      <xdr:rowOff>0</xdr:rowOff>
    </xdr:from>
    <xdr:to>
      <xdr:col>4</xdr:col>
      <xdr:colOff>1190625</xdr:colOff>
      <xdr:row>39</xdr:row>
      <xdr:rowOff>9525</xdr:rowOff>
    </xdr:to>
    <xdr:sp macro="" textlink="">
      <xdr:nvSpPr>
        <xdr:cNvPr id="55" name="Line 138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>
          <a:off x="3352800" y="101441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38</xdr:row>
      <xdr:rowOff>266700</xdr:rowOff>
    </xdr:from>
    <xdr:to>
      <xdr:col>7</xdr:col>
      <xdr:colOff>0</xdr:colOff>
      <xdr:row>40</xdr:row>
      <xdr:rowOff>19050</xdr:rowOff>
    </xdr:to>
    <xdr:sp macro="" textlink="">
      <xdr:nvSpPr>
        <xdr:cNvPr id="56" name="Line 147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ShapeType="1"/>
        </xdr:cNvSpPr>
      </xdr:nvSpPr>
      <xdr:spPr bwMode="auto">
        <a:xfrm>
          <a:off x="5638800" y="103917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38</xdr:row>
      <xdr:rowOff>9525</xdr:rowOff>
    </xdr:to>
    <xdr:sp macro="" textlink="">
      <xdr:nvSpPr>
        <xdr:cNvPr id="57" name="Line 150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ShapeType="1"/>
        </xdr:cNvSpPr>
      </xdr:nvSpPr>
      <xdr:spPr bwMode="auto">
        <a:xfrm>
          <a:off x="12392025" y="98964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41</xdr:row>
      <xdr:rowOff>9525</xdr:rowOff>
    </xdr:from>
    <xdr:to>
      <xdr:col>3</xdr:col>
      <xdr:colOff>1390650</xdr:colOff>
      <xdr:row>42</xdr:row>
      <xdr:rowOff>0</xdr:rowOff>
    </xdr:to>
    <xdr:sp macro="" textlink="">
      <xdr:nvSpPr>
        <xdr:cNvPr id="58" name="Line 139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ShapeType="1"/>
        </xdr:cNvSpPr>
      </xdr:nvSpPr>
      <xdr:spPr bwMode="auto">
        <a:xfrm>
          <a:off x="1971675" y="108966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3</xdr:col>
      <xdr:colOff>1390650</xdr:colOff>
      <xdr:row>42</xdr:row>
      <xdr:rowOff>266700</xdr:rowOff>
    </xdr:to>
    <xdr:sp macro="" textlink="">
      <xdr:nvSpPr>
        <xdr:cNvPr id="59" name="Line 140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19050</xdr:rowOff>
    </xdr:from>
    <xdr:to>
      <xdr:col>4</xdr:col>
      <xdr:colOff>1190625</xdr:colOff>
      <xdr:row>42</xdr:row>
      <xdr:rowOff>9525</xdr:rowOff>
    </xdr:to>
    <xdr:sp macro="" textlink="">
      <xdr:nvSpPr>
        <xdr:cNvPr id="60" name="Line 141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ShapeType="1"/>
        </xdr:cNvSpPr>
      </xdr:nvSpPr>
      <xdr:spPr bwMode="auto">
        <a:xfrm>
          <a:off x="3362325" y="109061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9525</xdr:rowOff>
    </xdr:from>
    <xdr:to>
      <xdr:col>5</xdr:col>
      <xdr:colOff>9525</xdr:colOff>
      <xdr:row>43</xdr:row>
      <xdr:rowOff>0</xdr:rowOff>
    </xdr:to>
    <xdr:sp macro="" textlink="">
      <xdr:nvSpPr>
        <xdr:cNvPr id="61" name="Line 14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3362325" y="111442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43</xdr:row>
      <xdr:rowOff>9525</xdr:rowOff>
    </xdr:from>
    <xdr:to>
      <xdr:col>7</xdr:col>
      <xdr:colOff>9525</xdr:colOff>
      <xdr:row>44</xdr:row>
      <xdr:rowOff>0</xdr:rowOff>
    </xdr:to>
    <xdr:sp macro="" textlink="">
      <xdr:nvSpPr>
        <xdr:cNvPr id="62" name="Line 148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>
          <a:off x="5648325" y="113919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3" name="Line 151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>
          <a:off x="12401550" y="108870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41</xdr:row>
      <xdr:rowOff>0</xdr:rowOff>
    </xdr:from>
    <xdr:to>
      <xdr:col>4</xdr:col>
      <xdr:colOff>0</xdr:colOff>
      <xdr:row>42</xdr:row>
      <xdr:rowOff>9525</xdr:rowOff>
    </xdr:to>
    <xdr:sp macro="" textlink="">
      <xdr:nvSpPr>
        <xdr:cNvPr id="64" name="Line 135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>
          <a:off x="1962150" y="108870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65" name="Line 136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ShapeType="1"/>
        </xdr:cNvSpPr>
      </xdr:nvSpPr>
      <xdr:spPr bwMode="auto">
        <a:xfrm>
          <a:off x="1962150" y="111347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9525</xdr:rowOff>
    </xdr:from>
    <xdr:to>
      <xdr:col>5</xdr:col>
      <xdr:colOff>0</xdr:colOff>
      <xdr:row>42</xdr:row>
      <xdr:rowOff>9525</xdr:rowOff>
    </xdr:to>
    <xdr:sp macro="" textlink="">
      <xdr:nvSpPr>
        <xdr:cNvPr id="66" name="Line 137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>
          <a:spLocks noChangeShapeType="1"/>
        </xdr:cNvSpPr>
      </xdr:nvSpPr>
      <xdr:spPr bwMode="auto">
        <a:xfrm>
          <a:off x="3362325" y="108966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42</xdr:row>
      <xdr:rowOff>0</xdr:rowOff>
    </xdr:from>
    <xdr:to>
      <xdr:col>4</xdr:col>
      <xdr:colOff>1190625</xdr:colOff>
      <xdr:row>43</xdr:row>
      <xdr:rowOff>9525</xdr:rowOff>
    </xdr:to>
    <xdr:sp macro="" textlink="">
      <xdr:nvSpPr>
        <xdr:cNvPr id="67" name="Line 138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>
          <a:spLocks noChangeShapeType="1"/>
        </xdr:cNvSpPr>
      </xdr:nvSpPr>
      <xdr:spPr bwMode="auto">
        <a:xfrm>
          <a:off x="3352800" y="111347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42</xdr:row>
      <xdr:rowOff>266700</xdr:rowOff>
    </xdr:from>
    <xdr:to>
      <xdr:col>7</xdr:col>
      <xdr:colOff>0</xdr:colOff>
      <xdr:row>44</xdr:row>
      <xdr:rowOff>19050</xdr:rowOff>
    </xdr:to>
    <xdr:sp macro="" textlink="">
      <xdr:nvSpPr>
        <xdr:cNvPr id="68" name="Line 14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>
          <a:spLocks noChangeShapeType="1"/>
        </xdr:cNvSpPr>
      </xdr:nvSpPr>
      <xdr:spPr bwMode="auto">
        <a:xfrm>
          <a:off x="5638800" y="113823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9525</xdr:rowOff>
    </xdr:to>
    <xdr:sp macro="" textlink="">
      <xdr:nvSpPr>
        <xdr:cNvPr id="69" name="Line 150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>
          <a:spLocks noChangeShapeType="1"/>
        </xdr:cNvSpPr>
      </xdr:nvSpPr>
      <xdr:spPr bwMode="auto">
        <a:xfrm>
          <a:off x="12392025" y="108870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9525</xdr:rowOff>
    </xdr:from>
    <xdr:to>
      <xdr:col>4</xdr:col>
      <xdr:colOff>0</xdr:colOff>
      <xdr:row>46</xdr:row>
      <xdr:rowOff>9525</xdr:rowOff>
    </xdr:to>
    <xdr:sp macro="" textlink="">
      <xdr:nvSpPr>
        <xdr:cNvPr id="70" name="Line 143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>
          <a:spLocks noChangeShapeType="1"/>
        </xdr:cNvSpPr>
      </xdr:nvSpPr>
      <xdr:spPr bwMode="auto">
        <a:xfrm>
          <a:off x="1962150" y="118872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9525</xdr:rowOff>
    </xdr:from>
    <xdr:to>
      <xdr:col>4</xdr:col>
      <xdr:colOff>1190625</xdr:colOff>
      <xdr:row>45</xdr:row>
      <xdr:rowOff>266700</xdr:rowOff>
    </xdr:to>
    <xdr:sp macro="" textlink="">
      <xdr:nvSpPr>
        <xdr:cNvPr id="71" name="Line 144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>
          <a:spLocks noChangeShapeType="1"/>
        </xdr:cNvSpPr>
      </xdr:nvSpPr>
      <xdr:spPr bwMode="auto">
        <a:xfrm>
          <a:off x="3371850" y="118872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46</xdr:row>
      <xdr:rowOff>0</xdr:rowOff>
    </xdr:from>
    <xdr:to>
      <xdr:col>4</xdr:col>
      <xdr:colOff>9525</xdr:colOff>
      <xdr:row>47</xdr:row>
      <xdr:rowOff>0</xdr:rowOff>
    </xdr:to>
    <xdr:sp macro="" textlink="">
      <xdr:nvSpPr>
        <xdr:cNvPr id="72" name="Line 145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>
          <a:spLocks noChangeShapeType="1"/>
        </xdr:cNvSpPr>
      </xdr:nvSpPr>
      <xdr:spPr bwMode="auto">
        <a:xfrm>
          <a:off x="1952625" y="121253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47</xdr:row>
      <xdr:rowOff>9525</xdr:rowOff>
    </xdr:to>
    <xdr:sp macro="" textlink="">
      <xdr:nvSpPr>
        <xdr:cNvPr id="73" name="Line 146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3371850" y="121253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47</xdr:row>
      <xdr:rowOff>0</xdr:rowOff>
    </xdr:from>
    <xdr:to>
      <xdr:col>7</xdr:col>
      <xdr:colOff>0</xdr:colOff>
      <xdr:row>48</xdr:row>
      <xdr:rowOff>9525</xdr:rowOff>
    </xdr:to>
    <xdr:sp macro="" textlink="">
      <xdr:nvSpPr>
        <xdr:cNvPr id="74" name="Line 149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5629275" y="123729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9525</xdr:rowOff>
    </xdr:from>
    <xdr:to>
      <xdr:col>12</xdr:col>
      <xdr:colOff>0</xdr:colOff>
      <xdr:row>46</xdr:row>
      <xdr:rowOff>0</xdr:rowOff>
    </xdr:to>
    <xdr:sp macro="" textlink="">
      <xdr:nvSpPr>
        <xdr:cNvPr id="75" name="Line 152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12401550" y="118872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45</xdr:row>
      <xdr:rowOff>9525</xdr:rowOff>
    </xdr:from>
    <xdr:to>
      <xdr:col>3</xdr:col>
      <xdr:colOff>1390650</xdr:colOff>
      <xdr:row>46</xdr:row>
      <xdr:rowOff>0</xdr:rowOff>
    </xdr:to>
    <xdr:sp macro="" textlink="">
      <xdr:nvSpPr>
        <xdr:cNvPr id="76" name="Line 13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>
          <a:off x="1971675" y="118872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3</xdr:col>
      <xdr:colOff>1390650</xdr:colOff>
      <xdr:row>46</xdr:row>
      <xdr:rowOff>266700</xdr:rowOff>
    </xdr:to>
    <xdr:sp macro="" textlink="">
      <xdr:nvSpPr>
        <xdr:cNvPr id="77" name="Line 140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1962150" y="121253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19050</xdr:rowOff>
    </xdr:from>
    <xdr:to>
      <xdr:col>4</xdr:col>
      <xdr:colOff>1190625</xdr:colOff>
      <xdr:row>46</xdr:row>
      <xdr:rowOff>9525</xdr:rowOff>
    </xdr:to>
    <xdr:sp macro="" textlink="">
      <xdr:nvSpPr>
        <xdr:cNvPr id="78" name="Line 141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3362325" y="118967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9525</xdr:colOff>
      <xdr:row>47</xdr:row>
      <xdr:rowOff>0</xdr:rowOff>
    </xdr:to>
    <xdr:sp macro="" textlink="">
      <xdr:nvSpPr>
        <xdr:cNvPr id="79" name="Line 142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ShapeType="1"/>
        </xdr:cNvSpPr>
      </xdr:nvSpPr>
      <xdr:spPr bwMode="auto">
        <a:xfrm>
          <a:off x="3362325" y="121348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47</xdr:row>
      <xdr:rowOff>9525</xdr:rowOff>
    </xdr:from>
    <xdr:to>
      <xdr:col>7</xdr:col>
      <xdr:colOff>9525</xdr:colOff>
      <xdr:row>48</xdr:row>
      <xdr:rowOff>0</xdr:rowOff>
    </xdr:to>
    <xdr:sp macro="" textlink="">
      <xdr:nvSpPr>
        <xdr:cNvPr id="80" name="Line 148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ShapeType="1"/>
        </xdr:cNvSpPr>
      </xdr:nvSpPr>
      <xdr:spPr bwMode="auto">
        <a:xfrm>
          <a:off x="5648325" y="123825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81" name="Line 151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ShapeType="1"/>
        </xdr:cNvSpPr>
      </xdr:nvSpPr>
      <xdr:spPr bwMode="auto">
        <a:xfrm>
          <a:off x="12401550" y="118776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46</xdr:row>
      <xdr:rowOff>9525</xdr:rowOff>
    </xdr:to>
    <xdr:sp macro="" textlink="">
      <xdr:nvSpPr>
        <xdr:cNvPr id="82" name="Line 135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1962150" y="118776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83" name="Line 136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ShapeType="1"/>
        </xdr:cNvSpPr>
      </xdr:nvSpPr>
      <xdr:spPr bwMode="auto">
        <a:xfrm>
          <a:off x="1962150" y="121253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9525</xdr:rowOff>
    </xdr:from>
    <xdr:to>
      <xdr:col>5</xdr:col>
      <xdr:colOff>0</xdr:colOff>
      <xdr:row>46</xdr:row>
      <xdr:rowOff>9525</xdr:rowOff>
    </xdr:to>
    <xdr:sp macro="" textlink="">
      <xdr:nvSpPr>
        <xdr:cNvPr id="84" name="Line 137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ShapeType="1"/>
        </xdr:cNvSpPr>
      </xdr:nvSpPr>
      <xdr:spPr bwMode="auto">
        <a:xfrm>
          <a:off x="3362325" y="118872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46</xdr:row>
      <xdr:rowOff>0</xdr:rowOff>
    </xdr:from>
    <xdr:to>
      <xdr:col>4</xdr:col>
      <xdr:colOff>1190625</xdr:colOff>
      <xdr:row>47</xdr:row>
      <xdr:rowOff>9525</xdr:rowOff>
    </xdr:to>
    <xdr:sp macro="" textlink="">
      <xdr:nvSpPr>
        <xdr:cNvPr id="85" name="Line 138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ShapeType="1"/>
        </xdr:cNvSpPr>
      </xdr:nvSpPr>
      <xdr:spPr bwMode="auto">
        <a:xfrm>
          <a:off x="3352800" y="121253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46</xdr:row>
      <xdr:rowOff>266700</xdr:rowOff>
    </xdr:from>
    <xdr:to>
      <xdr:col>7</xdr:col>
      <xdr:colOff>0</xdr:colOff>
      <xdr:row>48</xdr:row>
      <xdr:rowOff>19050</xdr:rowOff>
    </xdr:to>
    <xdr:sp macro="" textlink="">
      <xdr:nvSpPr>
        <xdr:cNvPr id="86" name="Line 147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5638800" y="123729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45</xdr:row>
      <xdr:rowOff>0</xdr:rowOff>
    </xdr:from>
    <xdr:to>
      <xdr:col>12</xdr:col>
      <xdr:colOff>0</xdr:colOff>
      <xdr:row>46</xdr:row>
      <xdr:rowOff>9525</xdr:rowOff>
    </xdr:to>
    <xdr:sp macro="" textlink="">
      <xdr:nvSpPr>
        <xdr:cNvPr id="87" name="Line 150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>
          <a:off x="12392025" y="118776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9525</xdr:rowOff>
    </xdr:from>
    <xdr:to>
      <xdr:col>4</xdr:col>
      <xdr:colOff>0</xdr:colOff>
      <xdr:row>50</xdr:row>
      <xdr:rowOff>9525</xdr:rowOff>
    </xdr:to>
    <xdr:sp macro="" textlink="">
      <xdr:nvSpPr>
        <xdr:cNvPr id="88" name="Line 143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>
          <a:off x="1962150" y="128778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49</xdr:row>
      <xdr:rowOff>9525</xdr:rowOff>
    </xdr:from>
    <xdr:to>
      <xdr:col>4</xdr:col>
      <xdr:colOff>1190625</xdr:colOff>
      <xdr:row>49</xdr:row>
      <xdr:rowOff>266700</xdr:rowOff>
    </xdr:to>
    <xdr:sp macro="" textlink="">
      <xdr:nvSpPr>
        <xdr:cNvPr id="89" name="Line 144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>
          <a:off x="3371850" y="128778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50</xdr:row>
      <xdr:rowOff>0</xdr:rowOff>
    </xdr:from>
    <xdr:to>
      <xdr:col>4</xdr:col>
      <xdr:colOff>9525</xdr:colOff>
      <xdr:row>51</xdr:row>
      <xdr:rowOff>0</xdr:rowOff>
    </xdr:to>
    <xdr:sp macro="" textlink="">
      <xdr:nvSpPr>
        <xdr:cNvPr id="90" name="Line 145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>
          <a:off x="1952625" y="131159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5</xdr:col>
      <xdr:colOff>9525</xdr:colOff>
      <xdr:row>51</xdr:row>
      <xdr:rowOff>9525</xdr:rowOff>
    </xdr:to>
    <xdr:sp macro="" textlink="">
      <xdr:nvSpPr>
        <xdr:cNvPr id="91" name="Line 146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3371850" y="131159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51</xdr:row>
      <xdr:rowOff>0</xdr:rowOff>
    </xdr:from>
    <xdr:to>
      <xdr:col>7</xdr:col>
      <xdr:colOff>0</xdr:colOff>
      <xdr:row>52</xdr:row>
      <xdr:rowOff>9525</xdr:rowOff>
    </xdr:to>
    <xdr:sp macro="" textlink="">
      <xdr:nvSpPr>
        <xdr:cNvPr id="92" name="Line 149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ShapeType="1"/>
        </xdr:cNvSpPr>
      </xdr:nvSpPr>
      <xdr:spPr bwMode="auto">
        <a:xfrm>
          <a:off x="5629275" y="133635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9525</xdr:rowOff>
    </xdr:from>
    <xdr:to>
      <xdr:col>12</xdr:col>
      <xdr:colOff>0</xdr:colOff>
      <xdr:row>50</xdr:row>
      <xdr:rowOff>0</xdr:rowOff>
    </xdr:to>
    <xdr:sp macro="" textlink="">
      <xdr:nvSpPr>
        <xdr:cNvPr id="93" name="Line 15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>
          <a:spLocks noChangeShapeType="1"/>
        </xdr:cNvSpPr>
      </xdr:nvSpPr>
      <xdr:spPr bwMode="auto">
        <a:xfrm>
          <a:off x="12401550" y="128778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49</xdr:row>
      <xdr:rowOff>9525</xdr:rowOff>
    </xdr:from>
    <xdr:to>
      <xdr:col>3</xdr:col>
      <xdr:colOff>1390650</xdr:colOff>
      <xdr:row>50</xdr:row>
      <xdr:rowOff>0</xdr:rowOff>
    </xdr:to>
    <xdr:sp macro="" textlink="">
      <xdr:nvSpPr>
        <xdr:cNvPr id="94" name="Line 139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>
          <a:spLocks noChangeShapeType="1"/>
        </xdr:cNvSpPr>
      </xdr:nvSpPr>
      <xdr:spPr bwMode="auto">
        <a:xfrm>
          <a:off x="1971675" y="128778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3</xdr:col>
      <xdr:colOff>1390650</xdr:colOff>
      <xdr:row>50</xdr:row>
      <xdr:rowOff>266700</xdr:rowOff>
    </xdr:to>
    <xdr:sp macro="" textlink="">
      <xdr:nvSpPr>
        <xdr:cNvPr id="95" name="Line 140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>
          <a:spLocks noChangeShapeType="1"/>
        </xdr:cNvSpPr>
      </xdr:nvSpPr>
      <xdr:spPr bwMode="auto">
        <a:xfrm>
          <a:off x="1962150" y="131159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19050</xdr:rowOff>
    </xdr:from>
    <xdr:to>
      <xdr:col>4</xdr:col>
      <xdr:colOff>1190625</xdr:colOff>
      <xdr:row>50</xdr:row>
      <xdr:rowOff>9525</xdr:rowOff>
    </xdr:to>
    <xdr:sp macro="" textlink="">
      <xdr:nvSpPr>
        <xdr:cNvPr id="96" name="Line 141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ShapeType="1"/>
        </xdr:cNvSpPr>
      </xdr:nvSpPr>
      <xdr:spPr bwMode="auto">
        <a:xfrm>
          <a:off x="3362325" y="128873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</xdr:rowOff>
    </xdr:from>
    <xdr:to>
      <xdr:col>5</xdr:col>
      <xdr:colOff>9525</xdr:colOff>
      <xdr:row>51</xdr:row>
      <xdr:rowOff>0</xdr:rowOff>
    </xdr:to>
    <xdr:sp macro="" textlink="">
      <xdr:nvSpPr>
        <xdr:cNvPr id="97" name="Line 14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>
          <a:spLocks noChangeShapeType="1"/>
        </xdr:cNvSpPr>
      </xdr:nvSpPr>
      <xdr:spPr bwMode="auto">
        <a:xfrm>
          <a:off x="3362325" y="131254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51</xdr:row>
      <xdr:rowOff>9525</xdr:rowOff>
    </xdr:from>
    <xdr:to>
      <xdr:col>7</xdr:col>
      <xdr:colOff>9525</xdr:colOff>
      <xdr:row>52</xdr:row>
      <xdr:rowOff>0</xdr:rowOff>
    </xdr:to>
    <xdr:sp macro="" textlink="">
      <xdr:nvSpPr>
        <xdr:cNvPr id="98" name="Line 14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>
          <a:spLocks noChangeShapeType="1"/>
        </xdr:cNvSpPr>
      </xdr:nvSpPr>
      <xdr:spPr bwMode="auto">
        <a:xfrm>
          <a:off x="5648325" y="133731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99" name="Line 151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>
          <a:spLocks noChangeShapeType="1"/>
        </xdr:cNvSpPr>
      </xdr:nvSpPr>
      <xdr:spPr bwMode="auto">
        <a:xfrm>
          <a:off x="12401550" y="128682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49</xdr:row>
      <xdr:rowOff>0</xdr:rowOff>
    </xdr:from>
    <xdr:to>
      <xdr:col>4</xdr:col>
      <xdr:colOff>0</xdr:colOff>
      <xdr:row>50</xdr:row>
      <xdr:rowOff>9525</xdr:rowOff>
    </xdr:to>
    <xdr:sp macro="" textlink="">
      <xdr:nvSpPr>
        <xdr:cNvPr id="100" name="Line 135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>
          <a:spLocks noChangeShapeType="1"/>
        </xdr:cNvSpPr>
      </xdr:nvSpPr>
      <xdr:spPr bwMode="auto">
        <a:xfrm>
          <a:off x="1962150" y="128682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01" name="Line 136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>
          <a:spLocks noChangeShapeType="1"/>
        </xdr:cNvSpPr>
      </xdr:nvSpPr>
      <xdr:spPr bwMode="auto">
        <a:xfrm>
          <a:off x="1962150" y="131159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9525</xdr:rowOff>
    </xdr:from>
    <xdr:to>
      <xdr:col>5</xdr:col>
      <xdr:colOff>0</xdr:colOff>
      <xdr:row>50</xdr:row>
      <xdr:rowOff>9525</xdr:rowOff>
    </xdr:to>
    <xdr:sp macro="" textlink="">
      <xdr:nvSpPr>
        <xdr:cNvPr id="102" name="Line 137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>
          <a:spLocks noChangeShapeType="1"/>
        </xdr:cNvSpPr>
      </xdr:nvSpPr>
      <xdr:spPr bwMode="auto">
        <a:xfrm>
          <a:off x="3362325" y="128778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50</xdr:row>
      <xdr:rowOff>0</xdr:rowOff>
    </xdr:from>
    <xdr:to>
      <xdr:col>4</xdr:col>
      <xdr:colOff>1190625</xdr:colOff>
      <xdr:row>51</xdr:row>
      <xdr:rowOff>9525</xdr:rowOff>
    </xdr:to>
    <xdr:sp macro="" textlink="">
      <xdr:nvSpPr>
        <xdr:cNvPr id="103" name="Line 138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>
          <a:spLocks noChangeShapeType="1"/>
        </xdr:cNvSpPr>
      </xdr:nvSpPr>
      <xdr:spPr bwMode="auto">
        <a:xfrm>
          <a:off x="3352800" y="131159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50</xdr:row>
      <xdr:rowOff>266700</xdr:rowOff>
    </xdr:from>
    <xdr:to>
      <xdr:col>7</xdr:col>
      <xdr:colOff>0</xdr:colOff>
      <xdr:row>52</xdr:row>
      <xdr:rowOff>19050</xdr:rowOff>
    </xdr:to>
    <xdr:sp macro="" textlink="">
      <xdr:nvSpPr>
        <xdr:cNvPr id="104" name="Line 147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>
          <a:spLocks noChangeShapeType="1"/>
        </xdr:cNvSpPr>
      </xdr:nvSpPr>
      <xdr:spPr bwMode="auto">
        <a:xfrm>
          <a:off x="5638800" y="133635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49</xdr:row>
      <xdr:rowOff>0</xdr:rowOff>
    </xdr:from>
    <xdr:to>
      <xdr:col>12</xdr:col>
      <xdr:colOff>0</xdr:colOff>
      <xdr:row>50</xdr:row>
      <xdr:rowOff>9525</xdr:rowOff>
    </xdr:to>
    <xdr:sp macro="" textlink="">
      <xdr:nvSpPr>
        <xdr:cNvPr id="105" name="Line 150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>
          <a:spLocks noChangeShapeType="1"/>
        </xdr:cNvSpPr>
      </xdr:nvSpPr>
      <xdr:spPr bwMode="auto">
        <a:xfrm>
          <a:off x="12392025" y="128682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53</xdr:row>
      <xdr:rowOff>9525</xdr:rowOff>
    </xdr:from>
    <xdr:to>
      <xdr:col>4</xdr:col>
      <xdr:colOff>0</xdr:colOff>
      <xdr:row>54</xdr:row>
      <xdr:rowOff>9525</xdr:rowOff>
    </xdr:to>
    <xdr:sp macro="" textlink="">
      <xdr:nvSpPr>
        <xdr:cNvPr id="106" name="Line 143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>
          <a:spLocks noChangeShapeType="1"/>
        </xdr:cNvSpPr>
      </xdr:nvSpPr>
      <xdr:spPr bwMode="auto">
        <a:xfrm>
          <a:off x="1962150" y="13868400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53</xdr:row>
      <xdr:rowOff>9525</xdr:rowOff>
    </xdr:from>
    <xdr:to>
      <xdr:col>4</xdr:col>
      <xdr:colOff>1190625</xdr:colOff>
      <xdr:row>53</xdr:row>
      <xdr:rowOff>266700</xdr:rowOff>
    </xdr:to>
    <xdr:sp macro="" textlink="">
      <xdr:nvSpPr>
        <xdr:cNvPr id="107" name="Line 144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>
          <a:spLocks noChangeShapeType="1"/>
        </xdr:cNvSpPr>
      </xdr:nvSpPr>
      <xdr:spPr bwMode="auto">
        <a:xfrm>
          <a:off x="3371850" y="13868400"/>
          <a:ext cx="118110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581025</xdr:colOff>
      <xdr:row>54</xdr:row>
      <xdr:rowOff>0</xdr:rowOff>
    </xdr:from>
    <xdr:to>
      <xdr:col>4</xdr:col>
      <xdr:colOff>9525</xdr:colOff>
      <xdr:row>55</xdr:row>
      <xdr:rowOff>0</xdr:rowOff>
    </xdr:to>
    <xdr:sp macro="" textlink="">
      <xdr:nvSpPr>
        <xdr:cNvPr id="108" name="Line 145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>
          <a:spLocks noChangeShapeType="1"/>
        </xdr:cNvSpPr>
      </xdr:nvSpPr>
      <xdr:spPr bwMode="auto">
        <a:xfrm>
          <a:off x="1952625" y="14106525"/>
          <a:ext cx="141922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54</xdr:row>
      <xdr:rowOff>0</xdr:rowOff>
    </xdr:from>
    <xdr:to>
      <xdr:col>5</xdr:col>
      <xdr:colOff>9525</xdr:colOff>
      <xdr:row>55</xdr:row>
      <xdr:rowOff>9525</xdr:rowOff>
    </xdr:to>
    <xdr:sp macro="" textlink="">
      <xdr:nvSpPr>
        <xdr:cNvPr id="109" name="Line 146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55</xdr:row>
      <xdr:rowOff>0</xdr:rowOff>
    </xdr:from>
    <xdr:to>
      <xdr:col>7</xdr:col>
      <xdr:colOff>0</xdr:colOff>
      <xdr:row>56</xdr:row>
      <xdr:rowOff>9525</xdr:rowOff>
    </xdr:to>
    <xdr:sp macro="" textlink="">
      <xdr:nvSpPr>
        <xdr:cNvPr id="110" name="Line 14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>
          <a:spLocks noChangeShapeType="1"/>
        </xdr:cNvSpPr>
      </xdr:nvSpPr>
      <xdr:spPr bwMode="auto">
        <a:xfrm>
          <a:off x="5629275" y="143541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9525</xdr:rowOff>
    </xdr:from>
    <xdr:to>
      <xdr:col>12</xdr:col>
      <xdr:colOff>0</xdr:colOff>
      <xdr:row>54</xdr:row>
      <xdr:rowOff>0</xdr:rowOff>
    </xdr:to>
    <xdr:sp macro="" textlink="">
      <xdr:nvSpPr>
        <xdr:cNvPr id="111" name="Line 152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>
          <a:spLocks noChangeShapeType="1"/>
        </xdr:cNvSpPr>
      </xdr:nvSpPr>
      <xdr:spPr bwMode="auto">
        <a:xfrm>
          <a:off x="12401550" y="13868400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53</xdr:row>
      <xdr:rowOff>9525</xdr:rowOff>
    </xdr:from>
    <xdr:to>
      <xdr:col>3</xdr:col>
      <xdr:colOff>1390650</xdr:colOff>
      <xdr:row>54</xdr:row>
      <xdr:rowOff>0</xdr:rowOff>
    </xdr:to>
    <xdr:sp macro="" textlink="">
      <xdr:nvSpPr>
        <xdr:cNvPr id="112" name="Line 139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>
          <a:spLocks noChangeShapeType="1"/>
        </xdr:cNvSpPr>
      </xdr:nvSpPr>
      <xdr:spPr bwMode="auto">
        <a:xfrm>
          <a:off x="1971675" y="13868400"/>
          <a:ext cx="13811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54</xdr:row>
      <xdr:rowOff>0</xdr:rowOff>
    </xdr:from>
    <xdr:to>
      <xdr:col>3</xdr:col>
      <xdr:colOff>1390650</xdr:colOff>
      <xdr:row>54</xdr:row>
      <xdr:rowOff>266700</xdr:rowOff>
    </xdr:to>
    <xdr:sp macro="" textlink="">
      <xdr:nvSpPr>
        <xdr:cNvPr id="113" name="Line 140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390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19050</xdr:rowOff>
    </xdr:from>
    <xdr:to>
      <xdr:col>4</xdr:col>
      <xdr:colOff>1190625</xdr:colOff>
      <xdr:row>54</xdr:row>
      <xdr:rowOff>9525</xdr:rowOff>
    </xdr:to>
    <xdr:sp macro="" textlink="">
      <xdr:nvSpPr>
        <xdr:cNvPr id="114" name="Line 141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>
          <a:spLocks noChangeShapeType="1"/>
        </xdr:cNvSpPr>
      </xdr:nvSpPr>
      <xdr:spPr bwMode="auto">
        <a:xfrm>
          <a:off x="3362325" y="13877925"/>
          <a:ext cx="119062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54</xdr:row>
      <xdr:rowOff>9525</xdr:rowOff>
    </xdr:from>
    <xdr:to>
      <xdr:col>5</xdr:col>
      <xdr:colOff>9525</xdr:colOff>
      <xdr:row>55</xdr:row>
      <xdr:rowOff>0</xdr:rowOff>
    </xdr:to>
    <xdr:sp macro="" textlink="">
      <xdr:nvSpPr>
        <xdr:cNvPr id="115" name="Line 142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55</xdr:row>
      <xdr:rowOff>9525</xdr:rowOff>
    </xdr:from>
    <xdr:to>
      <xdr:col>7</xdr:col>
      <xdr:colOff>9525</xdr:colOff>
      <xdr:row>56</xdr:row>
      <xdr:rowOff>0</xdr:rowOff>
    </xdr:to>
    <xdr:sp macro="" textlink="">
      <xdr:nvSpPr>
        <xdr:cNvPr id="116" name="Line 148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>
          <a:spLocks noChangeShapeType="1"/>
        </xdr:cNvSpPr>
      </xdr:nvSpPr>
      <xdr:spPr bwMode="auto">
        <a:xfrm>
          <a:off x="5648325" y="14363700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54</xdr:row>
      <xdr:rowOff>0</xdr:rowOff>
    </xdr:to>
    <xdr:sp macro="" textlink="">
      <xdr:nvSpPr>
        <xdr:cNvPr id="117" name="Line 151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>
          <a:spLocks noChangeShapeType="1"/>
        </xdr:cNvSpPr>
      </xdr:nvSpPr>
      <xdr:spPr bwMode="auto">
        <a:xfrm>
          <a:off x="12401550" y="13858875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53</xdr:row>
      <xdr:rowOff>0</xdr:rowOff>
    </xdr:from>
    <xdr:to>
      <xdr:col>4</xdr:col>
      <xdr:colOff>0</xdr:colOff>
      <xdr:row>54</xdr:row>
      <xdr:rowOff>9525</xdr:rowOff>
    </xdr:to>
    <xdr:sp macro="" textlink="">
      <xdr:nvSpPr>
        <xdr:cNvPr id="118" name="Line 135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>
          <a:spLocks noChangeShapeType="1"/>
        </xdr:cNvSpPr>
      </xdr:nvSpPr>
      <xdr:spPr bwMode="auto">
        <a:xfrm>
          <a:off x="1962150" y="13858875"/>
          <a:ext cx="14001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54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119" name="Line 136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>
          <a:spLocks noChangeShapeType="1"/>
        </xdr:cNvSpPr>
      </xdr:nvSpPr>
      <xdr:spPr bwMode="auto">
        <a:xfrm>
          <a:off x="1962150" y="14106525"/>
          <a:ext cx="14001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9525</xdr:rowOff>
    </xdr:from>
    <xdr:to>
      <xdr:col>5</xdr:col>
      <xdr:colOff>0</xdr:colOff>
      <xdr:row>54</xdr:row>
      <xdr:rowOff>9525</xdr:rowOff>
    </xdr:to>
    <xdr:sp macro="" textlink="">
      <xdr:nvSpPr>
        <xdr:cNvPr id="120" name="Line 137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>
          <a:spLocks noChangeShapeType="1"/>
        </xdr:cNvSpPr>
      </xdr:nvSpPr>
      <xdr:spPr bwMode="auto">
        <a:xfrm>
          <a:off x="3362325" y="13868400"/>
          <a:ext cx="1200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1390650</xdr:colOff>
      <xdr:row>54</xdr:row>
      <xdr:rowOff>0</xdr:rowOff>
    </xdr:from>
    <xdr:to>
      <xdr:col>4</xdr:col>
      <xdr:colOff>1190625</xdr:colOff>
      <xdr:row>55</xdr:row>
      <xdr:rowOff>9525</xdr:rowOff>
    </xdr:to>
    <xdr:sp macro="" textlink="">
      <xdr:nvSpPr>
        <xdr:cNvPr id="121" name="Line 138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>
          <a:spLocks noChangeShapeType="1"/>
        </xdr:cNvSpPr>
      </xdr:nvSpPr>
      <xdr:spPr bwMode="auto">
        <a:xfrm>
          <a:off x="335280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54</xdr:row>
      <xdr:rowOff>266700</xdr:rowOff>
    </xdr:from>
    <xdr:to>
      <xdr:col>7</xdr:col>
      <xdr:colOff>0</xdr:colOff>
      <xdr:row>56</xdr:row>
      <xdr:rowOff>19050</xdr:rowOff>
    </xdr:to>
    <xdr:sp macro="" textlink="">
      <xdr:nvSpPr>
        <xdr:cNvPr id="122" name="Line 147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>
          <a:spLocks noChangeShapeType="1"/>
        </xdr:cNvSpPr>
      </xdr:nvSpPr>
      <xdr:spPr bwMode="auto">
        <a:xfrm>
          <a:off x="5638800" y="14354175"/>
          <a:ext cx="12382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53</xdr:row>
      <xdr:rowOff>0</xdr:rowOff>
    </xdr:from>
    <xdr:to>
      <xdr:col>12</xdr:col>
      <xdr:colOff>0</xdr:colOff>
      <xdr:row>54</xdr:row>
      <xdr:rowOff>9525</xdr:rowOff>
    </xdr:to>
    <xdr:sp macro="" textlink="">
      <xdr:nvSpPr>
        <xdr:cNvPr id="123" name="Line 150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>
          <a:spLocks noChangeShapeType="1"/>
        </xdr:cNvSpPr>
      </xdr:nvSpPr>
      <xdr:spPr bwMode="auto">
        <a:xfrm>
          <a:off x="12392025" y="13858875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55</xdr:row>
      <xdr:rowOff>0</xdr:rowOff>
    </xdr:from>
    <xdr:to>
      <xdr:col>14</xdr:col>
      <xdr:colOff>0</xdr:colOff>
      <xdr:row>56</xdr:row>
      <xdr:rowOff>9525</xdr:rowOff>
    </xdr:to>
    <xdr:sp macro="" textlink="">
      <xdr:nvSpPr>
        <xdr:cNvPr id="124" name="Line 149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>
          <a:spLocks noChangeShapeType="1"/>
        </xdr:cNvSpPr>
      </xdr:nvSpPr>
      <xdr:spPr bwMode="auto">
        <a:xfrm>
          <a:off x="15049500" y="14354175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54</xdr:row>
      <xdr:rowOff>266700</xdr:rowOff>
    </xdr:from>
    <xdr:to>
      <xdr:col>14</xdr:col>
      <xdr:colOff>0</xdr:colOff>
      <xdr:row>56</xdr:row>
      <xdr:rowOff>19050</xdr:rowOff>
    </xdr:to>
    <xdr:sp macro="" textlink="">
      <xdr:nvSpPr>
        <xdr:cNvPr id="125" name="Line 147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>
          <a:spLocks noChangeShapeType="1"/>
        </xdr:cNvSpPr>
      </xdr:nvSpPr>
      <xdr:spPr bwMode="auto">
        <a:xfrm>
          <a:off x="15430500" y="14354175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53</xdr:row>
      <xdr:rowOff>0</xdr:rowOff>
    </xdr:from>
    <xdr:to>
      <xdr:col>5</xdr:col>
      <xdr:colOff>9525</xdr:colOff>
      <xdr:row>54</xdr:row>
      <xdr:rowOff>9525</xdr:rowOff>
    </xdr:to>
    <xdr:sp macro="" textlink="">
      <xdr:nvSpPr>
        <xdr:cNvPr id="126" name="Line 146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54</xdr:row>
      <xdr:rowOff>0</xdr:rowOff>
    </xdr:from>
    <xdr:to>
      <xdr:col>7</xdr:col>
      <xdr:colOff>0</xdr:colOff>
      <xdr:row>55</xdr:row>
      <xdr:rowOff>9525</xdr:rowOff>
    </xdr:to>
    <xdr:sp macro="" textlink="">
      <xdr:nvSpPr>
        <xdr:cNvPr id="127" name="Line 149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>
          <a:spLocks noChangeShapeType="1"/>
        </xdr:cNvSpPr>
      </xdr:nvSpPr>
      <xdr:spPr bwMode="auto">
        <a:xfrm>
          <a:off x="5629275" y="1435417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50</xdr:row>
      <xdr:rowOff>0</xdr:rowOff>
    </xdr:from>
    <xdr:to>
      <xdr:col>5</xdr:col>
      <xdr:colOff>9525</xdr:colOff>
      <xdr:row>51</xdr:row>
      <xdr:rowOff>9525</xdr:rowOff>
    </xdr:to>
    <xdr:sp macro="" textlink="">
      <xdr:nvSpPr>
        <xdr:cNvPr id="128" name="Line 146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9525</xdr:rowOff>
    </xdr:from>
    <xdr:to>
      <xdr:col>5</xdr:col>
      <xdr:colOff>9525</xdr:colOff>
      <xdr:row>51</xdr:row>
      <xdr:rowOff>0</xdr:rowOff>
    </xdr:to>
    <xdr:sp macro="" textlink="">
      <xdr:nvSpPr>
        <xdr:cNvPr id="129" name="Line 142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49</xdr:row>
      <xdr:rowOff>0</xdr:rowOff>
    </xdr:from>
    <xdr:to>
      <xdr:col>5</xdr:col>
      <xdr:colOff>9525</xdr:colOff>
      <xdr:row>50</xdr:row>
      <xdr:rowOff>9525</xdr:rowOff>
    </xdr:to>
    <xdr:sp macro="" textlink="">
      <xdr:nvSpPr>
        <xdr:cNvPr id="130" name="Line 146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50</xdr:row>
      <xdr:rowOff>0</xdr:rowOff>
    </xdr:from>
    <xdr:to>
      <xdr:col>7</xdr:col>
      <xdr:colOff>0</xdr:colOff>
      <xdr:row>51</xdr:row>
      <xdr:rowOff>9525</xdr:rowOff>
    </xdr:to>
    <xdr:sp macro="" textlink="">
      <xdr:nvSpPr>
        <xdr:cNvPr id="131" name="Line 149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>
          <a:spLocks noChangeShapeType="1"/>
        </xdr:cNvSpPr>
      </xdr:nvSpPr>
      <xdr:spPr bwMode="auto">
        <a:xfrm>
          <a:off x="5629275" y="1410652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46</xdr:row>
      <xdr:rowOff>0</xdr:rowOff>
    </xdr:from>
    <xdr:to>
      <xdr:col>5</xdr:col>
      <xdr:colOff>9525</xdr:colOff>
      <xdr:row>47</xdr:row>
      <xdr:rowOff>9525</xdr:rowOff>
    </xdr:to>
    <xdr:sp macro="" textlink="">
      <xdr:nvSpPr>
        <xdr:cNvPr id="132" name="Line 146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9525</xdr:rowOff>
    </xdr:from>
    <xdr:to>
      <xdr:col>5</xdr:col>
      <xdr:colOff>9525</xdr:colOff>
      <xdr:row>47</xdr:row>
      <xdr:rowOff>0</xdr:rowOff>
    </xdr:to>
    <xdr:sp macro="" textlink="">
      <xdr:nvSpPr>
        <xdr:cNvPr id="133" name="Line 14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0</xdr:rowOff>
    </xdr:from>
    <xdr:to>
      <xdr:col>5</xdr:col>
      <xdr:colOff>9525</xdr:colOff>
      <xdr:row>46</xdr:row>
      <xdr:rowOff>9525</xdr:rowOff>
    </xdr:to>
    <xdr:sp macro="" textlink="">
      <xdr:nvSpPr>
        <xdr:cNvPr id="134" name="Line 146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46</xdr:row>
      <xdr:rowOff>0</xdr:rowOff>
    </xdr:from>
    <xdr:to>
      <xdr:col>7</xdr:col>
      <xdr:colOff>0</xdr:colOff>
      <xdr:row>47</xdr:row>
      <xdr:rowOff>9525</xdr:rowOff>
    </xdr:to>
    <xdr:sp macro="" textlink="">
      <xdr:nvSpPr>
        <xdr:cNvPr id="135" name="Line 149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>
          <a:spLocks noChangeShapeType="1"/>
        </xdr:cNvSpPr>
      </xdr:nvSpPr>
      <xdr:spPr bwMode="auto">
        <a:xfrm>
          <a:off x="5629275" y="1410652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42</xdr:row>
      <xdr:rowOff>0</xdr:rowOff>
    </xdr:from>
    <xdr:to>
      <xdr:col>5</xdr:col>
      <xdr:colOff>9525</xdr:colOff>
      <xdr:row>43</xdr:row>
      <xdr:rowOff>9525</xdr:rowOff>
    </xdr:to>
    <xdr:sp macro="" textlink="">
      <xdr:nvSpPr>
        <xdr:cNvPr id="136" name="Line 146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9525</xdr:rowOff>
    </xdr:from>
    <xdr:to>
      <xdr:col>5</xdr:col>
      <xdr:colOff>9525</xdr:colOff>
      <xdr:row>43</xdr:row>
      <xdr:rowOff>0</xdr:rowOff>
    </xdr:to>
    <xdr:sp macro="" textlink="">
      <xdr:nvSpPr>
        <xdr:cNvPr id="137" name="Line 142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41</xdr:row>
      <xdr:rowOff>0</xdr:rowOff>
    </xdr:from>
    <xdr:to>
      <xdr:col>5</xdr:col>
      <xdr:colOff>9525</xdr:colOff>
      <xdr:row>42</xdr:row>
      <xdr:rowOff>9525</xdr:rowOff>
    </xdr:to>
    <xdr:sp macro="" textlink="">
      <xdr:nvSpPr>
        <xdr:cNvPr id="138" name="Line 146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38</xdr:row>
      <xdr:rowOff>0</xdr:rowOff>
    </xdr:from>
    <xdr:to>
      <xdr:col>5</xdr:col>
      <xdr:colOff>9525</xdr:colOff>
      <xdr:row>39</xdr:row>
      <xdr:rowOff>9525</xdr:rowOff>
    </xdr:to>
    <xdr:sp macro="" textlink="">
      <xdr:nvSpPr>
        <xdr:cNvPr id="140" name="Line 146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9525</xdr:rowOff>
    </xdr:from>
    <xdr:to>
      <xdr:col>5</xdr:col>
      <xdr:colOff>9525</xdr:colOff>
      <xdr:row>39</xdr:row>
      <xdr:rowOff>0</xdr:rowOff>
    </xdr:to>
    <xdr:sp macro="" textlink="">
      <xdr:nvSpPr>
        <xdr:cNvPr id="141" name="Line 142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37</xdr:row>
      <xdr:rowOff>0</xdr:rowOff>
    </xdr:from>
    <xdr:to>
      <xdr:col>5</xdr:col>
      <xdr:colOff>9525</xdr:colOff>
      <xdr:row>38</xdr:row>
      <xdr:rowOff>9525</xdr:rowOff>
    </xdr:to>
    <xdr:sp macro="" textlink="">
      <xdr:nvSpPr>
        <xdr:cNvPr id="142" name="Line 146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34</xdr:row>
      <xdr:rowOff>0</xdr:rowOff>
    </xdr:from>
    <xdr:to>
      <xdr:col>5</xdr:col>
      <xdr:colOff>9525</xdr:colOff>
      <xdr:row>35</xdr:row>
      <xdr:rowOff>9525</xdr:rowOff>
    </xdr:to>
    <xdr:sp macro="" textlink="">
      <xdr:nvSpPr>
        <xdr:cNvPr id="144" name="Line 146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9525</xdr:rowOff>
    </xdr:from>
    <xdr:to>
      <xdr:col>5</xdr:col>
      <xdr:colOff>9525</xdr:colOff>
      <xdr:row>35</xdr:row>
      <xdr:rowOff>0</xdr:rowOff>
    </xdr:to>
    <xdr:sp macro="" textlink="">
      <xdr:nvSpPr>
        <xdr:cNvPr id="145" name="Line 142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33</xdr:row>
      <xdr:rowOff>0</xdr:rowOff>
    </xdr:from>
    <xdr:to>
      <xdr:col>5</xdr:col>
      <xdr:colOff>9525</xdr:colOff>
      <xdr:row>34</xdr:row>
      <xdr:rowOff>9525</xdr:rowOff>
    </xdr:to>
    <xdr:sp macro="" textlink="">
      <xdr:nvSpPr>
        <xdr:cNvPr id="146" name="Line 146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31</xdr:row>
      <xdr:rowOff>9525</xdr:rowOff>
    </xdr:to>
    <xdr:sp macro="" textlink="">
      <xdr:nvSpPr>
        <xdr:cNvPr id="148" name="Line 146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9525</xdr:rowOff>
    </xdr:from>
    <xdr:to>
      <xdr:col>5</xdr:col>
      <xdr:colOff>9525</xdr:colOff>
      <xdr:row>31</xdr:row>
      <xdr:rowOff>0</xdr:rowOff>
    </xdr:to>
    <xdr:sp macro="" textlink="">
      <xdr:nvSpPr>
        <xdr:cNvPr id="149" name="Line 142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29</xdr:row>
      <xdr:rowOff>0</xdr:rowOff>
    </xdr:from>
    <xdr:to>
      <xdr:col>5</xdr:col>
      <xdr:colOff>9525</xdr:colOff>
      <xdr:row>30</xdr:row>
      <xdr:rowOff>9525</xdr:rowOff>
    </xdr:to>
    <xdr:sp macro="" textlink="">
      <xdr:nvSpPr>
        <xdr:cNvPr id="150" name="Line 146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5</xdr:col>
      <xdr:colOff>9525</xdr:colOff>
      <xdr:row>26</xdr:row>
      <xdr:rowOff>9525</xdr:rowOff>
    </xdr:to>
    <xdr:sp macro="" textlink="">
      <xdr:nvSpPr>
        <xdr:cNvPr id="152" name="Line 146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ShapeType="1"/>
        </xdr:cNvSpPr>
      </xdr:nvSpPr>
      <xdr:spPr bwMode="auto">
        <a:xfrm>
          <a:off x="3371850" y="1410652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9525</xdr:rowOff>
    </xdr:from>
    <xdr:to>
      <xdr:col>5</xdr:col>
      <xdr:colOff>9525</xdr:colOff>
      <xdr:row>26</xdr:row>
      <xdr:rowOff>0</xdr:rowOff>
    </xdr:to>
    <xdr:sp macro="" textlink="">
      <xdr:nvSpPr>
        <xdr:cNvPr id="153" name="Line 14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ShapeType="1"/>
        </xdr:cNvSpPr>
      </xdr:nvSpPr>
      <xdr:spPr bwMode="auto">
        <a:xfrm>
          <a:off x="3362325" y="14116050"/>
          <a:ext cx="1209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24</xdr:row>
      <xdr:rowOff>0</xdr:rowOff>
    </xdr:from>
    <xdr:to>
      <xdr:col>5</xdr:col>
      <xdr:colOff>9525</xdr:colOff>
      <xdr:row>25</xdr:row>
      <xdr:rowOff>9525</xdr:rowOff>
    </xdr:to>
    <xdr:sp macro="" textlink="">
      <xdr:nvSpPr>
        <xdr:cNvPr id="154" name="Line 146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>
          <a:spLocks noChangeShapeType="1"/>
        </xdr:cNvSpPr>
      </xdr:nvSpPr>
      <xdr:spPr bwMode="auto">
        <a:xfrm>
          <a:off x="3371850" y="13858875"/>
          <a:ext cx="1200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1066800</xdr:colOff>
      <xdr:row>25</xdr:row>
      <xdr:rowOff>0</xdr:rowOff>
    </xdr:from>
    <xdr:to>
      <xdr:col>7</xdr:col>
      <xdr:colOff>0</xdr:colOff>
      <xdr:row>26</xdr:row>
      <xdr:rowOff>9525</xdr:rowOff>
    </xdr:to>
    <xdr:sp macro="" textlink="">
      <xdr:nvSpPr>
        <xdr:cNvPr id="155" name="Line 149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>
          <a:spLocks noChangeShapeType="1"/>
        </xdr:cNvSpPr>
      </xdr:nvSpPr>
      <xdr:spPr bwMode="auto">
        <a:xfrm>
          <a:off x="5629275" y="14106525"/>
          <a:ext cx="12477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752475</xdr:colOff>
      <xdr:row>2</xdr:row>
      <xdr:rowOff>333375</xdr:rowOff>
    </xdr:from>
    <xdr:to>
      <xdr:col>24</xdr:col>
      <xdr:colOff>762000</xdr:colOff>
      <xdr:row>2</xdr:row>
      <xdr:rowOff>342900</xdr:rowOff>
    </xdr:to>
    <xdr:sp macro="" textlink="">
      <xdr:nvSpPr>
        <xdr:cNvPr id="156" name="Line 2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ShapeType="1"/>
        </xdr:cNvSpPr>
      </xdr:nvSpPr>
      <xdr:spPr bwMode="auto">
        <a:xfrm flipV="1">
          <a:off x="25612725" y="1209675"/>
          <a:ext cx="6429375" cy="9525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657225</xdr:colOff>
      <xdr:row>2</xdr:row>
      <xdr:rowOff>342900</xdr:rowOff>
    </xdr:from>
    <xdr:to>
      <xdr:col>18</xdr:col>
      <xdr:colOff>895350</xdr:colOff>
      <xdr:row>2</xdr:row>
      <xdr:rowOff>342900</xdr:rowOff>
    </xdr:to>
    <xdr:sp macro="" textlink="">
      <xdr:nvSpPr>
        <xdr:cNvPr id="157" name="Line 134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ShapeType="1"/>
        </xdr:cNvSpPr>
      </xdr:nvSpPr>
      <xdr:spPr bwMode="auto">
        <a:xfrm>
          <a:off x="11601450" y="1219200"/>
          <a:ext cx="12544425" cy="0"/>
        </a:xfrm>
        <a:prstGeom prst="line">
          <a:avLst/>
        </a:prstGeom>
        <a:noFill/>
        <a:ln w="2476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158" name="Line 7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ShapeType="1"/>
        </xdr:cNvSpPr>
      </xdr:nvSpPr>
      <xdr:spPr bwMode="auto">
        <a:xfrm>
          <a:off x="8324850" y="6838950"/>
          <a:ext cx="1171575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26</xdr:row>
      <xdr:rowOff>9525</xdr:rowOff>
    </xdr:to>
    <xdr:sp macro="" textlink="">
      <xdr:nvSpPr>
        <xdr:cNvPr id="159" name="Line 79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>
          <a:spLocks noChangeShapeType="1"/>
        </xdr:cNvSpPr>
      </xdr:nvSpPr>
      <xdr:spPr bwMode="auto">
        <a:xfrm>
          <a:off x="9505950" y="6838950"/>
          <a:ext cx="14382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24</xdr:row>
      <xdr:rowOff>0</xdr:rowOff>
    </xdr:from>
    <xdr:to>
      <xdr:col>12</xdr:col>
      <xdr:colOff>0</xdr:colOff>
      <xdr:row>25</xdr:row>
      <xdr:rowOff>9525</xdr:rowOff>
    </xdr:to>
    <xdr:sp macro="" textlink="">
      <xdr:nvSpPr>
        <xdr:cNvPr id="160" name="Line 80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>
          <a:spLocks noChangeShapeType="1"/>
        </xdr:cNvSpPr>
      </xdr:nvSpPr>
      <xdr:spPr bwMode="auto">
        <a:xfrm>
          <a:off x="12401550" y="6591300"/>
          <a:ext cx="158115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25</xdr:row>
      <xdr:rowOff>9525</xdr:rowOff>
    </xdr:from>
    <xdr:to>
      <xdr:col>12</xdr:col>
      <xdr:colOff>0</xdr:colOff>
      <xdr:row>25</xdr:row>
      <xdr:rowOff>323850</xdr:rowOff>
    </xdr:to>
    <xdr:sp macro="" textlink="">
      <xdr:nvSpPr>
        <xdr:cNvPr id="161" name="Line 81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>
          <a:spLocks noChangeShapeType="1"/>
        </xdr:cNvSpPr>
      </xdr:nvSpPr>
      <xdr:spPr bwMode="auto">
        <a:xfrm>
          <a:off x="12401550" y="68484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1447800</xdr:colOff>
      <xdr:row>30</xdr:row>
      <xdr:rowOff>0</xdr:rowOff>
    </xdr:from>
    <xdr:to>
      <xdr:col>8</xdr:col>
      <xdr:colOff>1000125</xdr:colOff>
      <xdr:row>31</xdr:row>
      <xdr:rowOff>9525</xdr:rowOff>
    </xdr:to>
    <xdr:sp macro="" textlink="">
      <xdr:nvSpPr>
        <xdr:cNvPr id="162" name="Line 89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>
          <a:spLocks noChangeShapeType="1"/>
        </xdr:cNvSpPr>
      </xdr:nvSpPr>
      <xdr:spPr bwMode="auto">
        <a:xfrm>
          <a:off x="8324850" y="8077200"/>
          <a:ext cx="10001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163" name="Line 90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ShapeType="1"/>
        </xdr:cNvSpPr>
      </xdr:nvSpPr>
      <xdr:spPr bwMode="auto">
        <a:xfrm>
          <a:off x="8324850" y="8324850"/>
          <a:ext cx="11811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31</xdr:row>
      <xdr:rowOff>9525</xdr:rowOff>
    </xdr:from>
    <xdr:to>
      <xdr:col>10</xdr:col>
      <xdr:colOff>0</xdr:colOff>
      <xdr:row>32</xdr:row>
      <xdr:rowOff>0</xdr:rowOff>
    </xdr:to>
    <xdr:sp macro="" textlink="">
      <xdr:nvSpPr>
        <xdr:cNvPr id="164" name="Line 91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>
          <a:spLocks noChangeShapeType="1"/>
        </xdr:cNvSpPr>
      </xdr:nvSpPr>
      <xdr:spPr bwMode="auto">
        <a:xfrm>
          <a:off x="9505950" y="8334375"/>
          <a:ext cx="14382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12</xdr:col>
      <xdr:colOff>9525</xdr:colOff>
      <xdr:row>31</xdr:row>
      <xdr:rowOff>323850</xdr:rowOff>
    </xdr:to>
    <xdr:sp macro="" textlink="">
      <xdr:nvSpPr>
        <xdr:cNvPr id="165" name="Line 92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>
          <a:spLocks noChangeShapeType="1"/>
        </xdr:cNvSpPr>
      </xdr:nvSpPr>
      <xdr:spPr bwMode="auto">
        <a:xfrm>
          <a:off x="12392025" y="8324850"/>
          <a:ext cx="160020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30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166" name="Line 93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>
          <a:spLocks noChangeShapeType="1"/>
        </xdr:cNvSpPr>
      </xdr:nvSpPr>
      <xdr:spPr bwMode="auto">
        <a:xfrm>
          <a:off x="12401550" y="807720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29</xdr:row>
      <xdr:rowOff>9525</xdr:rowOff>
    </xdr:from>
    <xdr:to>
      <xdr:col>12</xdr:col>
      <xdr:colOff>0</xdr:colOff>
      <xdr:row>30</xdr:row>
      <xdr:rowOff>0</xdr:rowOff>
    </xdr:to>
    <xdr:sp macro="" textlink="">
      <xdr:nvSpPr>
        <xdr:cNvPr id="167" name="Line 94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>
          <a:spLocks noChangeShapeType="1"/>
        </xdr:cNvSpPr>
      </xdr:nvSpPr>
      <xdr:spPr bwMode="auto">
        <a:xfrm>
          <a:off x="12392025" y="7839075"/>
          <a:ext cx="1590675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39</xdr:row>
      <xdr:rowOff>9525</xdr:rowOff>
    </xdr:from>
    <xdr:to>
      <xdr:col>7</xdr:col>
      <xdr:colOff>9525</xdr:colOff>
      <xdr:row>40</xdr:row>
      <xdr:rowOff>0</xdr:rowOff>
    </xdr:to>
    <xdr:sp macro="" textlink="">
      <xdr:nvSpPr>
        <xdr:cNvPr id="168" name="Line 148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>
          <a:spLocks noChangeShapeType="1"/>
        </xdr:cNvSpPr>
      </xdr:nvSpPr>
      <xdr:spPr bwMode="auto">
        <a:xfrm>
          <a:off x="5648325" y="103155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12</xdr:col>
      <xdr:colOff>0</xdr:colOff>
      <xdr:row>34</xdr:row>
      <xdr:rowOff>9525</xdr:rowOff>
    </xdr:to>
    <xdr:sp macro="" textlink="">
      <xdr:nvSpPr>
        <xdr:cNvPr id="169" name="Line 150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>
          <a:spLocks noChangeShapeType="1"/>
        </xdr:cNvSpPr>
      </xdr:nvSpPr>
      <xdr:spPr bwMode="auto">
        <a:xfrm>
          <a:off x="12392025" y="88201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170" name="Line 151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>
          <a:spLocks noChangeShapeType="1"/>
        </xdr:cNvSpPr>
      </xdr:nvSpPr>
      <xdr:spPr bwMode="auto">
        <a:xfrm>
          <a:off x="12401550" y="98107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9525</xdr:rowOff>
    </xdr:from>
    <xdr:to>
      <xdr:col>12</xdr:col>
      <xdr:colOff>0</xdr:colOff>
      <xdr:row>42</xdr:row>
      <xdr:rowOff>0</xdr:rowOff>
    </xdr:to>
    <xdr:sp macro="" textlink="">
      <xdr:nvSpPr>
        <xdr:cNvPr id="171" name="Line 152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>
          <a:spLocks noChangeShapeType="1"/>
        </xdr:cNvSpPr>
      </xdr:nvSpPr>
      <xdr:spPr bwMode="auto">
        <a:xfrm>
          <a:off x="12401550" y="108108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37</xdr:row>
      <xdr:rowOff>0</xdr:rowOff>
    </xdr:from>
    <xdr:to>
      <xdr:col>12</xdr:col>
      <xdr:colOff>0</xdr:colOff>
      <xdr:row>38</xdr:row>
      <xdr:rowOff>9525</xdr:rowOff>
    </xdr:to>
    <xdr:sp macro="" textlink="">
      <xdr:nvSpPr>
        <xdr:cNvPr id="172" name="Line 150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>
          <a:spLocks noChangeShapeType="1"/>
        </xdr:cNvSpPr>
      </xdr:nvSpPr>
      <xdr:spPr bwMode="auto">
        <a:xfrm>
          <a:off x="12392025" y="98107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43</xdr:row>
      <xdr:rowOff>9525</xdr:rowOff>
    </xdr:from>
    <xdr:to>
      <xdr:col>7</xdr:col>
      <xdr:colOff>9525</xdr:colOff>
      <xdr:row>44</xdr:row>
      <xdr:rowOff>0</xdr:rowOff>
    </xdr:to>
    <xdr:sp macro="" textlink="">
      <xdr:nvSpPr>
        <xdr:cNvPr id="173" name="Line 148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>
          <a:spLocks noChangeShapeType="1"/>
        </xdr:cNvSpPr>
      </xdr:nvSpPr>
      <xdr:spPr bwMode="auto">
        <a:xfrm>
          <a:off x="5648325" y="113061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74" name="Line 151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>
          <a:spLocks noChangeShapeType="1"/>
        </xdr:cNvSpPr>
      </xdr:nvSpPr>
      <xdr:spPr bwMode="auto">
        <a:xfrm>
          <a:off x="12401550" y="108013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9525</xdr:rowOff>
    </xdr:to>
    <xdr:sp macro="" textlink="">
      <xdr:nvSpPr>
        <xdr:cNvPr id="175" name="Line 150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>
          <a:spLocks noChangeShapeType="1"/>
        </xdr:cNvSpPr>
      </xdr:nvSpPr>
      <xdr:spPr bwMode="auto">
        <a:xfrm>
          <a:off x="12392025" y="108013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9525</xdr:rowOff>
    </xdr:from>
    <xdr:to>
      <xdr:col>12</xdr:col>
      <xdr:colOff>0</xdr:colOff>
      <xdr:row>46</xdr:row>
      <xdr:rowOff>0</xdr:rowOff>
    </xdr:to>
    <xdr:sp macro="" textlink="">
      <xdr:nvSpPr>
        <xdr:cNvPr id="176" name="Line 152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>
          <a:spLocks noChangeShapeType="1"/>
        </xdr:cNvSpPr>
      </xdr:nvSpPr>
      <xdr:spPr bwMode="auto">
        <a:xfrm>
          <a:off x="12401550" y="118014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47</xdr:row>
      <xdr:rowOff>9525</xdr:rowOff>
    </xdr:from>
    <xdr:to>
      <xdr:col>7</xdr:col>
      <xdr:colOff>9525</xdr:colOff>
      <xdr:row>48</xdr:row>
      <xdr:rowOff>0</xdr:rowOff>
    </xdr:to>
    <xdr:sp macro="" textlink="">
      <xdr:nvSpPr>
        <xdr:cNvPr id="177" name="Line 14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>
          <a:spLocks noChangeShapeType="1"/>
        </xdr:cNvSpPr>
      </xdr:nvSpPr>
      <xdr:spPr bwMode="auto">
        <a:xfrm>
          <a:off x="5648325" y="122967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78" name="Line 151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>
          <a:spLocks noChangeShapeType="1"/>
        </xdr:cNvSpPr>
      </xdr:nvSpPr>
      <xdr:spPr bwMode="auto">
        <a:xfrm>
          <a:off x="12401550" y="117919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45</xdr:row>
      <xdr:rowOff>0</xdr:rowOff>
    </xdr:from>
    <xdr:to>
      <xdr:col>12</xdr:col>
      <xdr:colOff>0</xdr:colOff>
      <xdr:row>46</xdr:row>
      <xdr:rowOff>9525</xdr:rowOff>
    </xdr:to>
    <xdr:sp macro="" textlink="">
      <xdr:nvSpPr>
        <xdr:cNvPr id="179" name="Line 150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>
          <a:spLocks noChangeShapeType="1"/>
        </xdr:cNvSpPr>
      </xdr:nvSpPr>
      <xdr:spPr bwMode="auto">
        <a:xfrm>
          <a:off x="12392025" y="117919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9525</xdr:rowOff>
    </xdr:from>
    <xdr:to>
      <xdr:col>12</xdr:col>
      <xdr:colOff>0</xdr:colOff>
      <xdr:row>50</xdr:row>
      <xdr:rowOff>0</xdr:rowOff>
    </xdr:to>
    <xdr:sp macro="" textlink="">
      <xdr:nvSpPr>
        <xdr:cNvPr id="180" name="Line 152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>
          <a:spLocks noChangeShapeType="1"/>
        </xdr:cNvSpPr>
      </xdr:nvSpPr>
      <xdr:spPr bwMode="auto">
        <a:xfrm>
          <a:off x="12401550" y="127920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51</xdr:row>
      <xdr:rowOff>9525</xdr:rowOff>
    </xdr:from>
    <xdr:to>
      <xdr:col>7</xdr:col>
      <xdr:colOff>9525</xdr:colOff>
      <xdr:row>52</xdr:row>
      <xdr:rowOff>0</xdr:rowOff>
    </xdr:to>
    <xdr:sp macro="" textlink="">
      <xdr:nvSpPr>
        <xdr:cNvPr id="181" name="Line 148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>
          <a:spLocks noChangeShapeType="1"/>
        </xdr:cNvSpPr>
      </xdr:nvSpPr>
      <xdr:spPr bwMode="auto">
        <a:xfrm>
          <a:off x="5648325" y="132873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82" name="Line 15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>
          <a:spLocks noChangeShapeType="1"/>
        </xdr:cNvSpPr>
      </xdr:nvSpPr>
      <xdr:spPr bwMode="auto">
        <a:xfrm>
          <a:off x="12401550" y="127825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49</xdr:row>
      <xdr:rowOff>0</xdr:rowOff>
    </xdr:from>
    <xdr:to>
      <xdr:col>12</xdr:col>
      <xdr:colOff>0</xdr:colOff>
      <xdr:row>50</xdr:row>
      <xdr:rowOff>9525</xdr:rowOff>
    </xdr:to>
    <xdr:sp macro="" textlink="">
      <xdr:nvSpPr>
        <xdr:cNvPr id="183" name="Line 150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>
          <a:spLocks noChangeShapeType="1"/>
        </xdr:cNvSpPr>
      </xdr:nvSpPr>
      <xdr:spPr bwMode="auto">
        <a:xfrm>
          <a:off x="12392025" y="127825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9525</xdr:rowOff>
    </xdr:from>
    <xdr:to>
      <xdr:col>12</xdr:col>
      <xdr:colOff>0</xdr:colOff>
      <xdr:row>54</xdr:row>
      <xdr:rowOff>0</xdr:rowOff>
    </xdr:to>
    <xdr:sp macro="" textlink="">
      <xdr:nvSpPr>
        <xdr:cNvPr id="184" name="Line 152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>
          <a:spLocks noChangeShapeType="1"/>
        </xdr:cNvSpPr>
      </xdr:nvSpPr>
      <xdr:spPr bwMode="auto">
        <a:xfrm>
          <a:off x="12401550" y="137826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55</xdr:row>
      <xdr:rowOff>9525</xdr:rowOff>
    </xdr:from>
    <xdr:to>
      <xdr:col>7</xdr:col>
      <xdr:colOff>9525</xdr:colOff>
      <xdr:row>56</xdr:row>
      <xdr:rowOff>0</xdr:rowOff>
    </xdr:to>
    <xdr:sp macro="" textlink="">
      <xdr:nvSpPr>
        <xdr:cNvPr id="185" name="Line 14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 noChangeShapeType="1"/>
        </xdr:cNvSpPr>
      </xdr:nvSpPr>
      <xdr:spPr bwMode="auto">
        <a:xfrm>
          <a:off x="5648325" y="142779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54</xdr:row>
      <xdr:rowOff>0</xdr:rowOff>
    </xdr:to>
    <xdr:sp macro="" textlink="">
      <xdr:nvSpPr>
        <xdr:cNvPr id="186" name="Line 151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>
          <a:spLocks noChangeShapeType="1"/>
        </xdr:cNvSpPr>
      </xdr:nvSpPr>
      <xdr:spPr bwMode="auto">
        <a:xfrm>
          <a:off x="12401550" y="137731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53</xdr:row>
      <xdr:rowOff>0</xdr:rowOff>
    </xdr:from>
    <xdr:to>
      <xdr:col>12</xdr:col>
      <xdr:colOff>0</xdr:colOff>
      <xdr:row>54</xdr:row>
      <xdr:rowOff>9525</xdr:rowOff>
    </xdr:to>
    <xdr:sp macro="" textlink="">
      <xdr:nvSpPr>
        <xdr:cNvPr id="187" name="Line 150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 noChangeShapeType="1"/>
        </xdr:cNvSpPr>
      </xdr:nvSpPr>
      <xdr:spPr bwMode="auto">
        <a:xfrm>
          <a:off x="12392025" y="137731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55</xdr:row>
      <xdr:rowOff>0</xdr:rowOff>
    </xdr:from>
    <xdr:to>
      <xdr:col>14</xdr:col>
      <xdr:colOff>0</xdr:colOff>
      <xdr:row>56</xdr:row>
      <xdr:rowOff>9525</xdr:rowOff>
    </xdr:to>
    <xdr:sp macro="" textlink="">
      <xdr:nvSpPr>
        <xdr:cNvPr id="188" name="Line 149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 noChangeShapeType="1"/>
        </xdr:cNvSpPr>
      </xdr:nvSpPr>
      <xdr:spPr bwMode="auto">
        <a:xfrm>
          <a:off x="15049500" y="14268450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54</xdr:row>
      <xdr:rowOff>266700</xdr:rowOff>
    </xdr:from>
    <xdr:to>
      <xdr:col>14</xdr:col>
      <xdr:colOff>0</xdr:colOff>
      <xdr:row>56</xdr:row>
      <xdr:rowOff>19050</xdr:rowOff>
    </xdr:to>
    <xdr:sp macro="" textlink="">
      <xdr:nvSpPr>
        <xdr:cNvPr id="189" name="Line 147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>
          <a:spLocks noChangeShapeType="1"/>
        </xdr:cNvSpPr>
      </xdr:nvSpPr>
      <xdr:spPr bwMode="auto">
        <a:xfrm>
          <a:off x="15430500" y="14268450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9525</xdr:rowOff>
    </xdr:from>
    <xdr:to>
      <xdr:col>12</xdr:col>
      <xdr:colOff>0</xdr:colOff>
      <xdr:row>50</xdr:row>
      <xdr:rowOff>0</xdr:rowOff>
    </xdr:to>
    <xdr:sp macro="" textlink="">
      <xdr:nvSpPr>
        <xdr:cNvPr id="190" name="Line 152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>
          <a:spLocks noChangeShapeType="1"/>
        </xdr:cNvSpPr>
      </xdr:nvSpPr>
      <xdr:spPr bwMode="auto">
        <a:xfrm>
          <a:off x="12401550" y="127920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51</xdr:row>
      <xdr:rowOff>9525</xdr:rowOff>
    </xdr:from>
    <xdr:to>
      <xdr:col>7</xdr:col>
      <xdr:colOff>9525</xdr:colOff>
      <xdr:row>52</xdr:row>
      <xdr:rowOff>0</xdr:rowOff>
    </xdr:to>
    <xdr:sp macro="" textlink="">
      <xdr:nvSpPr>
        <xdr:cNvPr id="191" name="Line 148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>
          <a:spLocks noChangeShapeType="1"/>
        </xdr:cNvSpPr>
      </xdr:nvSpPr>
      <xdr:spPr bwMode="auto">
        <a:xfrm>
          <a:off x="5648325" y="132873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92" name="Line 15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>
          <a:spLocks noChangeShapeType="1"/>
        </xdr:cNvSpPr>
      </xdr:nvSpPr>
      <xdr:spPr bwMode="auto">
        <a:xfrm>
          <a:off x="12401550" y="127825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49</xdr:row>
      <xdr:rowOff>0</xdr:rowOff>
    </xdr:from>
    <xdr:to>
      <xdr:col>12</xdr:col>
      <xdr:colOff>0</xdr:colOff>
      <xdr:row>50</xdr:row>
      <xdr:rowOff>9525</xdr:rowOff>
    </xdr:to>
    <xdr:sp macro="" textlink="">
      <xdr:nvSpPr>
        <xdr:cNvPr id="193" name="Line 150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>
          <a:spLocks noChangeShapeType="1"/>
        </xdr:cNvSpPr>
      </xdr:nvSpPr>
      <xdr:spPr bwMode="auto">
        <a:xfrm>
          <a:off x="12392025" y="127825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51</xdr:row>
      <xdr:rowOff>0</xdr:rowOff>
    </xdr:from>
    <xdr:to>
      <xdr:col>14</xdr:col>
      <xdr:colOff>0</xdr:colOff>
      <xdr:row>52</xdr:row>
      <xdr:rowOff>9525</xdr:rowOff>
    </xdr:to>
    <xdr:sp macro="" textlink="">
      <xdr:nvSpPr>
        <xdr:cNvPr id="194" name="Line 149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>
          <a:spLocks noChangeShapeType="1"/>
        </xdr:cNvSpPr>
      </xdr:nvSpPr>
      <xdr:spPr bwMode="auto">
        <a:xfrm>
          <a:off x="15049500" y="13277850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50</xdr:row>
      <xdr:rowOff>266700</xdr:rowOff>
    </xdr:from>
    <xdr:to>
      <xdr:col>14</xdr:col>
      <xdr:colOff>0</xdr:colOff>
      <xdr:row>52</xdr:row>
      <xdr:rowOff>19050</xdr:rowOff>
    </xdr:to>
    <xdr:sp macro="" textlink="">
      <xdr:nvSpPr>
        <xdr:cNvPr id="195" name="Line 147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>
          <a:spLocks noChangeShapeType="1"/>
        </xdr:cNvSpPr>
      </xdr:nvSpPr>
      <xdr:spPr bwMode="auto">
        <a:xfrm>
          <a:off x="15430500" y="13277850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9525</xdr:rowOff>
    </xdr:from>
    <xdr:to>
      <xdr:col>12</xdr:col>
      <xdr:colOff>0</xdr:colOff>
      <xdr:row>46</xdr:row>
      <xdr:rowOff>0</xdr:rowOff>
    </xdr:to>
    <xdr:sp macro="" textlink="">
      <xdr:nvSpPr>
        <xdr:cNvPr id="196" name="Line 152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>
          <a:spLocks noChangeShapeType="1"/>
        </xdr:cNvSpPr>
      </xdr:nvSpPr>
      <xdr:spPr bwMode="auto">
        <a:xfrm>
          <a:off x="12401550" y="11801475"/>
          <a:ext cx="15811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</xdr:colOff>
      <xdr:row>47</xdr:row>
      <xdr:rowOff>9525</xdr:rowOff>
    </xdr:from>
    <xdr:to>
      <xdr:col>7</xdr:col>
      <xdr:colOff>9525</xdr:colOff>
      <xdr:row>48</xdr:row>
      <xdr:rowOff>0</xdr:rowOff>
    </xdr:to>
    <xdr:sp macro="" textlink="">
      <xdr:nvSpPr>
        <xdr:cNvPr id="197" name="Line 148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>
          <a:spLocks noChangeShapeType="1"/>
        </xdr:cNvSpPr>
      </xdr:nvSpPr>
      <xdr:spPr bwMode="auto">
        <a:xfrm>
          <a:off x="5648325" y="12296775"/>
          <a:ext cx="1238250" cy="2381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98" name="Line 151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>
          <a:spLocks noChangeShapeType="1"/>
        </xdr:cNvSpPr>
      </xdr:nvSpPr>
      <xdr:spPr bwMode="auto">
        <a:xfrm>
          <a:off x="12401550" y="11791950"/>
          <a:ext cx="15811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45</xdr:row>
      <xdr:rowOff>0</xdr:rowOff>
    </xdr:from>
    <xdr:to>
      <xdr:col>12</xdr:col>
      <xdr:colOff>0</xdr:colOff>
      <xdr:row>46</xdr:row>
      <xdr:rowOff>9525</xdr:rowOff>
    </xdr:to>
    <xdr:sp macro="" textlink="">
      <xdr:nvSpPr>
        <xdr:cNvPr id="199" name="Line 150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>
          <a:spLocks noChangeShapeType="1"/>
        </xdr:cNvSpPr>
      </xdr:nvSpPr>
      <xdr:spPr bwMode="auto">
        <a:xfrm>
          <a:off x="12392025" y="11791950"/>
          <a:ext cx="159067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1066800</xdr:colOff>
      <xdr:row>47</xdr:row>
      <xdr:rowOff>0</xdr:rowOff>
    </xdr:from>
    <xdr:to>
      <xdr:col>14</xdr:col>
      <xdr:colOff>0</xdr:colOff>
      <xdr:row>48</xdr:row>
      <xdr:rowOff>9525</xdr:rowOff>
    </xdr:to>
    <xdr:sp macro="" textlink="">
      <xdr:nvSpPr>
        <xdr:cNvPr id="200" name="Line 14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 noChangeShapeType="1"/>
        </xdr:cNvSpPr>
      </xdr:nvSpPr>
      <xdr:spPr bwMode="auto">
        <a:xfrm>
          <a:off x="15049500" y="12287250"/>
          <a:ext cx="2028825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0</xdr:colOff>
      <xdr:row>46</xdr:row>
      <xdr:rowOff>266700</xdr:rowOff>
    </xdr:from>
    <xdr:to>
      <xdr:col>14</xdr:col>
      <xdr:colOff>0</xdr:colOff>
      <xdr:row>48</xdr:row>
      <xdr:rowOff>19050</xdr:rowOff>
    </xdr:to>
    <xdr:sp macro="" textlink="">
      <xdr:nvSpPr>
        <xdr:cNvPr id="201" name="Line 147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 noChangeShapeType="1"/>
        </xdr:cNvSpPr>
      </xdr:nvSpPr>
      <xdr:spPr bwMode="auto">
        <a:xfrm>
          <a:off x="15430500" y="12287250"/>
          <a:ext cx="164782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84"/>
  <sheetViews>
    <sheetView tabSelected="1" topLeftCell="M1" workbookViewId="0">
      <selection activeCell="X4" sqref="X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75" defaultRowHeight="13.5"/>
  <cols>
    <col min="1" max="1" width="10.125" customWidth="1"/>
    <col min="2" max="3" width="7.625" customWidth="1"/>
    <col min="4" max="4" width="18.375" customWidth="1"/>
    <col min="5" max="5" width="15.625" customWidth="1"/>
    <col min="6" max="6" width="14.125" customWidth="1"/>
    <col min="7" max="7" width="16.125" customWidth="1"/>
    <col min="8" max="8" width="19" customWidth="1"/>
    <col min="9" max="9" width="15.375" customWidth="1"/>
    <col min="10" max="11" width="19" customWidth="1"/>
    <col min="12" max="12" width="23.625" customWidth="1"/>
    <col min="13" max="13" width="19" customWidth="1"/>
    <col min="14" max="14" width="23.375" customWidth="1"/>
    <col min="15" max="15" width="12.375" customWidth="1"/>
    <col min="16" max="16" width="28.625" customWidth="1"/>
    <col min="17" max="17" width="20.875" customWidth="1"/>
    <col min="18" max="19" width="21.125" customWidth="1"/>
    <col min="20" max="20" width="26.5" customWidth="1"/>
    <col min="21" max="22" width="11.625" customWidth="1"/>
    <col min="23" max="23" width="22.875" customWidth="1"/>
    <col min="24" max="25" width="11.625" customWidth="1"/>
    <col min="26" max="26" width="28.625" customWidth="1"/>
  </cols>
  <sheetData>
    <row r="1" spans="1:30" s="213" customFormat="1" ht="33.75" thickBot="1">
      <c r="A1" s="204"/>
      <c r="B1" s="205" t="s">
        <v>55</v>
      </c>
      <c r="C1" s="205"/>
      <c r="D1" s="206">
        <v>7500</v>
      </c>
      <c r="E1" s="207" t="s">
        <v>56</v>
      </c>
      <c r="F1" s="205" t="s">
        <v>57</v>
      </c>
      <c r="G1" s="208">
        <v>0.69</v>
      </c>
      <c r="H1" s="209"/>
      <c r="I1" s="205" t="s">
        <v>58</v>
      </c>
      <c r="J1" s="210">
        <v>1800</v>
      </c>
      <c r="K1" s="211"/>
      <c r="L1" s="327" t="s">
        <v>150</v>
      </c>
      <c r="M1" s="206">
        <v>2000</v>
      </c>
      <c r="N1" s="207" t="s">
        <v>56</v>
      </c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</row>
    <row r="2" spans="1:30" s="213" customFormat="1" ht="35.25" thickTop="1" thickBot="1">
      <c r="A2" s="214"/>
      <c r="B2" s="215" t="s">
        <v>59</v>
      </c>
      <c r="C2" s="215"/>
      <c r="D2" s="206">
        <f>D1</f>
        <v>7500</v>
      </c>
      <c r="E2" s="207" t="s">
        <v>56</v>
      </c>
      <c r="F2" s="216" t="s">
        <v>60</v>
      </c>
      <c r="G2" s="217">
        <v>0.7</v>
      </c>
      <c r="H2" s="218"/>
      <c r="I2" s="219" t="s">
        <v>61</v>
      </c>
      <c r="J2" s="210">
        <v>0</v>
      </c>
      <c r="K2" s="218"/>
      <c r="L2" s="328" t="s">
        <v>151</v>
      </c>
      <c r="M2" s="206">
        <v>2000</v>
      </c>
      <c r="N2" s="207" t="s">
        <v>56</v>
      </c>
      <c r="P2" s="220"/>
      <c r="Q2" s="221" t="s">
        <v>62</v>
      </c>
      <c r="R2" s="222"/>
      <c r="S2" s="221" t="s">
        <v>63</v>
      </c>
      <c r="T2" s="221"/>
      <c r="U2" s="222"/>
      <c r="V2" s="221" t="s">
        <v>64</v>
      </c>
    </row>
    <row r="3" spans="1:30" s="213" customFormat="1" ht="34.5" thickTop="1" thickBot="1">
      <c r="A3" s="336" t="s">
        <v>161</v>
      </c>
      <c r="B3" s="411" t="s">
        <v>162</v>
      </c>
      <c r="C3" s="411"/>
      <c r="D3" s="410" t="s">
        <v>179</v>
      </c>
      <c r="E3" s="410"/>
      <c r="F3" s="410"/>
      <c r="G3" s="410"/>
      <c r="H3" s="410"/>
      <c r="I3" s="410"/>
      <c r="J3" s="410"/>
      <c r="K3" s="223" t="s">
        <v>65</v>
      </c>
      <c r="L3" s="224"/>
      <c r="M3" s="225" t="s">
        <v>66</v>
      </c>
      <c r="N3" s="224"/>
      <c r="O3" s="225" t="s">
        <v>67</v>
      </c>
      <c r="P3" s="224">
        <v>1</v>
      </c>
      <c r="Q3" s="226" t="s">
        <v>68</v>
      </c>
      <c r="R3" s="227" t="s">
        <v>69</v>
      </c>
      <c r="S3" s="228" t="s">
        <v>70</v>
      </c>
      <c r="T3" s="223" t="s">
        <v>71</v>
      </c>
      <c r="U3" s="229">
        <v>0</v>
      </c>
      <c r="V3" s="412" t="s">
        <v>72</v>
      </c>
      <c r="W3" s="412"/>
      <c r="X3" s="230">
        <v>344</v>
      </c>
      <c r="Y3" s="335" t="s">
        <v>73</v>
      </c>
      <c r="Z3" s="335"/>
      <c r="AA3" s="402"/>
      <c r="AB3" s="402"/>
      <c r="AC3" s="403"/>
      <c r="AD3" s="226"/>
    </row>
    <row r="4" spans="1:30" ht="22.5" customHeight="1" thickTop="1" thickBot="1">
      <c r="A4" s="48" t="s">
        <v>1</v>
      </c>
      <c r="B4" s="49"/>
      <c r="C4" s="49"/>
      <c r="D4" s="49"/>
      <c r="E4" s="49"/>
      <c r="F4" s="49"/>
      <c r="G4" s="50"/>
      <c r="H4" s="51" t="s">
        <v>2</v>
      </c>
      <c r="I4" s="52"/>
      <c r="J4" s="49"/>
      <c r="K4" s="49"/>
      <c r="L4" s="49"/>
      <c r="M4" s="49"/>
      <c r="N4" s="50"/>
      <c r="O4" s="51" t="s">
        <v>3</v>
      </c>
      <c r="P4" s="52"/>
      <c r="Q4" s="49"/>
      <c r="R4" s="49"/>
      <c r="S4" s="49"/>
      <c r="T4" s="49"/>
      <c r="U4" s="49"/>
      <c r="V4" s="49"/>
      <c r="W4" s="49"/>
      <c r="X4" s="49"/>
      <c r="Y4" s="49"/>
      <c r="Z4" s="401"/>
    </row>
    <row r="5" spans="1:30" s="1" customFormat="1" ht="22.5" customHeight="1" thickTop="1" thickBot="1">
      <c r="A5" s="54" t="s">
        <v>4</v>
      </c>
      <c r="B5" s="55" t="s">
        <v>5</v>
      </c>
      <c r="C5" s="56" t="s">
        <v>6</v>
      </c>
      <c r="D5" s="57" t="s">
        <v>7</v>
      </c>
      <c r="E5" s="58" t="s">
        <v>8</v>
      </c>
      <c r="F5" s="57" t="s">
        <v>9</v>
      </c>
      <c r="G5" s="59" t="s">
        <v>10</v>
      </c>
      <c r="H5" s="60" t="s">
        <v>11</v>
      </c>
      <c r="I5" s="58" t="s">
        <v>12</v>
      </c>
      <c r="J5" s="58" t="s">
        <v>6</v>
      </c>
      <c r="K5" s="58" t="s">
        <v>8</v>
      </c>
      <c r="L5" s="57" t="s">
        <v>13</v>
      </c>
      <c r="M5" s="57" t="s">
        <v>9</v>
      </c>
      <c r="N5" s="59" t="s">
        <v>10</v>
      </c>
      <c r="O5" s="61" t="s">
        <v>11</v>
      </c>
      <c r="P5" s="57" t="s">
        <v>14</v>
      </c>
      <c r="Q5" s="57" t="s">
        <v>0</v>
      </c>
      <c r="R5" s="58" t="s">
        <v>8</v>
      </c>
      <c r="S5" s="57" t="s">
        <v>15</v>
      </c>
      <c r="T5" s="312" t="s">
        <v>16</v>
      </c>
      <c r="U5" s="313" t="s">
        <v>147</v>
      </c>
      <c r="V5" s="313" t="s">
        <v>17</v>
      </c>
      <c r="W5" s="314" t="s">
        <v>18</v>
      </c>
      <c r="X5" s="58" t="s">
        <v>148</v>
      </c>
      <c r="Y5" s="57" t="s">
        <v>9</v>
      </c>
      <c r="Z5" s="59" t="s">
        <v>19</v>
      </c>
    </row>
    <row r="6" spans="1:30" ht="19.5" customHeight="1">
      <c r="A6" s="62"/>
      <c r="B6" s="63" t="s">
        <v>170</v>
      </c>
      <c r="C6" s="13"/>
      <c r="D6" s="197">
        <f>$X$3</f>
        <v>344</v>
      </c>
      <c r="E6" s="39">
        <v>600</v>
      </c>
      <c r="F6" s="65">
        <v>1</v>
      </c>
      <c r="G6" s="5">
        <f>INT(D6*E6*F6)</f>
        <v>206400</v>
      </c>
      <c r="H6" s="66" t="s">
        <v>51</v>
      </c>
      <c r="I6" s="42">
        <f>IF(L6&gt;0,1,0)</f>
        <v>1</v>
      </c>
      <c r="J6" s="42">
        <f>IF(L6&gt;0,$C$12,0)</f>
        <v>2</v>
      </c>
      <c r="K6" s="4">
        <f>IF(ISERROR((I6*T6)/L6),0,(I6*T6)/L6)</f>
        <v>7500</v>
      </c>
      <c r="L6" s="7">
        <f>IF(MOD($X$3/64,1)=0,$X$3/64,INT($X$3/64))</f>
        <v>5</v>
      </c>
      <c r="M6" s="15">
        <f>tankas(K6)</f>
        <v>1.6</v>
      </c>
      <c r="N6" s="40">
        <f>IF(M6&gt;50,INT(J6*L6*M6),INT(J6*K6*L6*M6))</f>
        <v>120000</v>
      </c>
      <c r="O6" s="67" t="s">
        <v>20</v>
      </c>
      <c r="P6" s="68"/>
      <c r="Q6" s="44">
        <f>IF(L6&gt;0,$D$1,0)</f>
        <v>7500</v>
      </c>
      <c r="R6" s="42">
        <v>64</v>
      </c>
      <c r="S6" s="42">
        <v>64</v>
      </c>
      <c r="T6" s="4">
        <f>INT(IF(ISERROR($D$1*(R6/S6)),0,$D$1*(R6/S6)*$L$6))</f>
        <v>37500</v>
      </c>
      <c r="U6" s="44">
        <f>V6*100</f>
        <v>300</v>
      </c>
      <c r="V6" s="27">
        <f>($A$14+$A$16)+1</f>
        <v>3</v>
      </c>
      <c r="W6" s="44">
        <f>IF(T6&gt;0,IF(Q6*V6/100&gt;U6,T6*(1+V6/100),T6+U6*L6),0)</f>
        <v>39000</v>
      </c>
      <c r="X6" s="381"/>
      <c r="Y6" s="28"/>
      <c r="Z6" s="5">
        <f>INT(W6*Y6)</f>
        <v>0</v>
      </c>
    </row>
    <row r="7" spans="1:30" ht="19.5" customHeight="1">
      <c r="A7" s="69"/>
      <c r="B7" s="63" t="s">
        <v>21</v>
      </c>
      <c r="C7" s="39">
        <f>(A14+A16)/2</f>
        <v>1</v>
      </c>
      <c r="D7" s="197">
        <f>$X$3</f>
        <v>344</v>
      </c>
      <c r="E7" s="70"/>
      <c r="F7" s="17">
        <v>500</v>
      </c>
      <c r="G7" s="5">
        <f>INT(C7*D7*F7)</f>
        <v>172000</v>
      </c>
      <c r="H7" s="66" t="s">
        <v>52</v>
      </c>
      <c r="I7" s="42">
        <f>IF(L7&gt;0,1,0)</f>
        <v>0</v>
      </c>
      <c r="J7" s="42">
        <f>IF(L7&gt;0,$C$12,0)</f>
        <v>0</v>
      </c>
      <c r="K7" s="4">
        <f>IF(ISERROR((I7*T7)/L7),0,(I7*T7)/L7)</f>
        <v>0</v>
      </c>
      <c r="L7" s="7">
        <f>IF(OR(MOD($X$3/64,1)=0.5,MOD($X$3/64,1)=0.625,MOD($X$3/64,1)=0.75,MOD($X$3/64,1)=0.875),1,0)</f>
        <v>0</v>
      </c>
      <c r="M7" s="15">
        <f>tankas(K7)</f>
        <v>6000</v>
      </c>
      <c r="N7" s="40">
        <f>IF(M7&gt;50,INT(J7*L7*M7),INT(J7*K7*L7*M7))</f>
        <v>0</v>
      </c>
      <c r="O7" s="71"/>
      <c r="P7" s="72"/>
      <c r="Q7" s="44">
        <f>IF(L7&gt;0,$D$1,0)</f>
        <v>0</v>
      </c>
      <c r="R7" s="42">
        <v>32</v>
      </c>
      <c r="S7" s="42">
        <v>64</v>
      </c>
      <c r="T7" s="4">
        <f>INT(IF(ISERROR($D$1*(R7/S7)),0,$D$1*(R7/S7)*$L$7))</f>
        <v>0</v>
      </c>
      <c r="U7" s="44">
        <f>V7*100</f>
        <v>300</v>
      </c>
      <c r="V7" s="27">
        <f>($A$14+$A$16)+1</f>
        <v>3</v>
      </c>
      <c r="W7" s="44">
        <f>IF(T7&gt;0,IF(T7*V7/100&gt;U7,T7*(1+V7/100),T7+U7),0)</f>
        <v>0</v>
      </c>
      <c r="X7" s="381"/>
      <c r="Y7" s="43"/>
      <c r="Z7" s="5">
        <f>INT(W7*Y7)</f>
        <v>0</v>
      </c>
    </row>
    <row r="8" spans="1:30" ht="19.5" customHeight="1">
      <c r="A8" s="73" t="s">
        <v>22</v>
      </c>
      <c r="B8" s="63" t="s">
        <v>171</v>
      </c>
      <c r="C8" s="13">
        <v>1</v>
      </c>
      <c r="D8" s="39">
        <f>$W$3</f>
        <v>0</v>
      </c>
      <c r="E8" s="70"/>
      <c r="F8" s="17"/>
      <c r="G8" s="5">
        <f>INT(C8*D8*F8)</f>
        <v>0</v>
      </c>
      <c r="H8" s="66" t="s">
        <v>53</v>
      </c>
      <c r="I8" s="42">
        <v>1</v>
      </c>
      <c r="J8" s="42">
        <v>2</v>
      </c>
      <c r="K8" s="4">
        <f>IF(ISERROR((I8*T8)/L8),0,(I8*T8)/L8)</f>
        <v>1875</v>
      </c>
      <c r="L8" s="7">
        <f>IF(OR(MOD($X$3/64,1)=0.25,MOD($X$3/64,1)=0.375,MOD($X$3/64,1)=0.75,MOD($X$3/64,1)=0.875),1,0)</f>
        <v>1</v>
      </c>
      <c r="M8" s="15">
        <f>tankas(K8)</f>
        <v>6000</v>
      </c>
      <c r="N8" s="40">
        <f>IF(M8&gt;50,INT(J8*L8*M8),INT(J8*K8*L8*M8))</f>
        <v>12000</v>
      </c>
      <c r="O8" s="74"/>
      <c r="P8" s="68"/>
      <c r="Q8" s="44">
        <f>IF(L8&gt;0,$D$1,0)</f>
        <v>7500</v>
      </c>
      <c r="R8" s="42">
        <v>16</v>
      </c>
      <c r="S8" s="42">
        <v>64</v>
      </c>
      <c r="T8" s="4">
        <f>INT(IF(ISERROR($D$1*(R8/S8)),0,$D$1*(R8/S8)*$L$8))</f>
        <v>1875</v>
      </c>
      <c r="U8" s="44">
        <f>V8*100</f>
        <v>300</v>
      </c>
      <c r="V8" s="27">
        <f>($A$14+$A$16)+1</f>
        <v>3</v>
      </c>
      <c r="W8" s="44">
        <f>IF(T8&gt;0,IF(T8*V8/100&gt;U8,T8*(1+V8/100),T8+U8),0)</f>
        <v>2175</v>
      </c>
      <c r="X8" s="381"/>
      <c r="Y8" s="43"/>
      <c r="Z8" s="5">
        <f>INT(W8*Y8)</f>
        <v>0</v>
      </c>
    </row>
    <row r="9" spans="1:30" ht="19.5" customHeight="1">
      <c r="A9" s="69"/>
      <c r="B9" s="75" t="s">
        <v>172</v>
      </c>
      <c r="C9" s="13"/>
      <c r="D9" s="70"/>
      <c r="E9" s="13">
        <v>15</v>
      </c>
      <c r="F9" s="17">
        <v>650</v>
      </c>
      <c r="G9" s="5">
        <f>INT(E9*F9)</f>
        <v>9750</v>
      </c>
      <c r="H9" s="66" t="s">
        <v>23</v>
      </c>
      <c r="I9" s="42">
        <v>1</v>
      </c>
      <c r="J9" s="42">
        <v>2</v>
      </c>
      <c r="K9" s="4">
        <f>IF(ISERROR((I9*T9)/L9),0,(I9*T9)/L9)</f>
        <v>937</v>
      </c>
      <c r="L9" s="7">
        <f>IF(OR(MOD($X$3/64,1)=0.125,MOD($X$3/64,1)=0.375,MOD($X$3/64,1)=0.625,MOD($X$3/64,1)=0.875),1,0)</f>
        <v>1</v>
      </c>
      <c r="M9" s="15">
        <f>tankas(K9)</f>
        <v>6000</v>
      </c>
      <c r="N9" s="40">
        <f>IF(M9&gt;50,INT(J9*L9*M9),INT(J9*K9*L9*M9))</f>
        <v>12000</v>
      </c>
      <c r="O9" s="74"/>
      <c r="P9" s="68"/>
      <c r="Q9" s="44">
        <f>IF(L9&gt;0,$D$1,0)</f>
        <v>7500</v>
      </c>
      <c r="R9" s="42">
        <v>8</v>
      </c>
      <c r="S9" s="42">
        <v>64</v>
      </c>
      <c r="T9" s="4">
        <f>INT(IF(ISERROR($D$1*(R9/S9)),0,$D$1*(R9/S9)*$L$9))</f>
        <v>937</v>
      </c>
      <c r="U9" s="44">
        <f>V9*100</f>
        <v>300</v>
      </c>
      <c r="V9" s="27">
        <f>($A$14+$A$16)+1</f>
        <v>3</v>
      </c>
      <c r="W9" s="44">
        <f>IF(T9&gt;0,IF(T9*V9/100&gt;U9,T9*(1+V9/100),T9+U9),0)</f>
        <v>1237</v>
      </c>
      <c r="X9" s="381"/>
      <c r="Y9" s="43"/>
      <c r="Z9" s="5">
        <f>INT(W9*Y9)</f>
        <v>0</v>
      </c>
    </row>
    <row r="10" spans="1:30" ht="19.5" customHeight="1" thickBot="1">
      <c r="A10" s="69"/>
      <c r="B10" s="75" t="s">
        <v>173</v>
      </c>
      <c r="C10" s="13"/>
      <c r="D10" s="70"/>
      <c r="E10" s="13">
        <v>25</v>
      </c>
      <c r="F10" s="17">
        <v>600</v>
      </c>
      <c r="G10" s="5">
        <f>INT(E10*F10)</f>
        <v>15000</v>
      </c>
      <c r="H10" s="76"/>
      <c r="I10" s="14"/>
      <c r="J10" s="14"/>
      <c r="K10" s="17"/>
      <c r="L10" s="17"/>
      <c r="M10" s="29"/>
      <c r="N10" s="16"/>
      <c r="O10" s="77"/>
      <c r="P10" s="68"/>
      <c r="Q10" s="17"/>
      <c r="R10" s="17"/>
      <c r="S10" s="17"/>
      <c r="T10" s="17"/>
      <c r="U10" s="17"/>
      <c r="V10" s="27"/>
      <c r="W10" s="17"/>
      <c r="X10" s="382"/>
      <c r="Y10" s="37"/>
      <c r="Z10" s="311"/>
    </row>
    <row r="11" spans="1:30" ht="19.5" customHeight="1" thickTop="1" thickBot="1">
      <c r="A11" s="69"/>
      <c r="B11" s="75" t="s">
        <v>174</v>
      </c>
      <c r="C11" s="13"/>
      <c r="D11" s="70"/>
      <c r="E11" s="13">
        <v>1</v>
      </c>
      <c r="F11" s="17">
        <v>0</v>
      </c>
      <c r="G11" s="5">
        <f>INT(E11*F11)</f>
        <v>0</v>
      </c>
      <c r="H11" s="76"/>
      <c r="I11" s="14"/>
      <c r="J11" s="14"/>
      <c r="K11" s="17"/>
      <c r="L11" s="17"/>
      <c r="M11" s="29"/>
      <c r="N11" s="16"/>
      <c r="O11" s="78"/>
      <c r="P11" s="68"/>
      <c r="Q11" s="17"/>
      <c r="R11" s="14"/>
      <c r="S11" s="14"/>
      <c r="T11" s="17"/>
      <c r="U11" s="17"/>
      <c r="V11" s="27"/>
      <c r="W11" s="315">
        <f>ROUNDUP(SUM(W6:W9)/500,0)*500</f>
        <v>42500</v>
      </c>
      <c r="X11" s="383">
        <v>61</v>
      </c>
      <c r="Y11" s="318">
        <v>134</v>
      </c>
      <c r="Z11" s="316">
        <f>ROUND(W11*X11*Y11/1000,0)</f>
        <v>347395</v>
      </c>
    </row>
    <row r="12" spans="1:30" ht="19.5" customHeight="1" thickTop="1">
      <c r="A12" s="69"/>
      <c r="B12" s="63" t="s">
        <v>24</v>
      </c>
      <c r="C12" s="39">
        <f>A14+A16</f>
        <v>2</v>
      </c>
      <c r="D12" s="64"/>
      <c r="E12" s="197">
        <f>(L6+L7+L8+L9)</f>
        <v>7</v>
      </c>
      <c r="F12" s="17">
        <v>2300</v>
      </c>
      <c r="G12" s="5">
        <f>INT(E12*F12*C12)</f>
        <v>32200</v>
      </c>
      <c r="H12" s="76"/>
      <c r="I12" s="14"/>
      <c r="J12" s="14"/>
      <c r="K12" s="17"/>
      <c r="L12" s="17"/>
      <c r="M12" s="29"/>
      <c r="N12" s="16"/>
      <c r="O12" s="78"/>
      <c r="P12" s="68"/>
      <c r="Q12" s="17"/>
      <c r="R12" s="17"/>
      <c r="S12" s="17"/>
      <c r="T12" s="17"/>
      <c r="U12" s="17"/>
      <c r="V12" s="27"/>
      <c r="W12" s="17"/>
      <c r="X12" s="384"/>
      <c r="Y12" s="317"/>
      <c r="Z12" s="16"/>
    </row>
    <row r="13" spans="1:30" ht="19.5" customHeight="1">
      <c r="A13" s="73" t="s">
        <v>25</v>
      </c>
      <c r="B13" s="79" t="s">
        <v>175</v>
      </c>
      <c r="C13" s="13"/>
      <c r="D13" s="70"/>
      <c r="E13" s="13">
        <v>1</v>
      </c>
      <c r="F13" s="17">
        <v>0</v>
      </c>
      <c r="G13" s="5">
        <f>INT(F13*E13)</f>
        <v>0</v>
      </c>
      <c r="H13" s="76"/>
      <c r="I13" s="14"/>
      <c r="J13" s="14"/>
      <c r="K13" s="17"/>
      <c r="L13" s="17"/>
      <c r="M13" s="29"/>
      <c r="N13" s="16"/>
      <c r="O13" s="78"/>
      <c r="P13" s="68"/>
      <c r="Q13" s="17"/>
      <c r="R13" s="17"/>
      <c r="S13" s="17"/>
      <c r="T13" s="17"/>
      <c r="U13" s="17"/>
      <c r="V13" s="27"/>
      <c r="W13" s="17"/>
      <c r="X13" s="385"/>
      <c r="Y13" s="29"/>
      <c r="Z13" s="16"/>
    </row>
    <row r="14" spans="1:30" ht="19.5" customHeight="1">
      <c r="A14" s="80">
        <v>1</v>
      </c>
      <c r="B14" s="79" t="s">
        <v>176</v>
      </c>
      <c r="C14" s="13"/>
      <c r="D14" s="378" t="s">
        <v>177</v>
      </c>
      <c r="E14" s="380">
        <v>20</v>
      </c>
      <c r="F14" s="379"/>
      <c r="G14" s="5">
        <f>INT(G6*(E14/100))</f>
        <v>41280</v>
      </c>
      <c r="H14" s="76"/>
      <c r="I14" s="14"/>
      <c r="J14" s="14"/>
      <c r="K14" s="17"/>
      <c r="L14" s="17"/>
      <c r="M14" s="29"/>
      <c r="N14" s="16"/>
      <c r="O14" s="78"/>
      <c r="P14" s="68"/>
      <c r="Q14" s="17"/>
      <c r="R14" s="17"/>
      <c r="S14" s="17"/>
      <c r="T14" s="17"/>
      <c r="U14" s="17"/>
      <c r="V14" s="27"/>
      <c r="W14" s="17"/>
      <c r="X14" s="385"/>
      <c r="Y14" s="29"/>
      <c r="Z14" s="16"/>
    </row>
    <row r="15" spans="1:30" ht="19.5" customHeight="1">
      <c r="A15" s="81" t="s">
        <v>27</v>
      </c>
      <c r="B15" s="79" t="s">
        <v>28</v>
      </c>
      <c r="C15" s="13"/>
      <c r="D15" s="13"/>
      <c r="E15" s="70"/>
      <c r="F15" s="17"/>
      <c r="G15" s="16">
        <v>50000</v>
      </c>
      <c r="H15" s="76"/>
      <c r="I15" s="14"/>
      <c r="J15" s="14"/>
      <c r="K15" s="17"/>
      <c r="L15" s="17"/>
      <c r="M15" s="29"/>
      <c r="N15" s="16"/>
      <c r="O15" s="78"/>
      <c r="P15" s="68"/>
      <c r="Q15" s="17"/>
      <c r="R15" s="17"/>
      <c r="S15" s="17"/>
      <c r="T15" s="17"/>
      <c r="U15" s="17"/>
      <c r="V15" s="27"/>
      <c r="W15" s="17"/>
      <c r="X15" s="385"/>
      <c r="Y15" s="29"/>
      <c r="Z15" s="16"/>
    </row>
    <row r="16" spans="1:30" ht="19.5" customHeight="1" thickBot="1">
      <c r="A16" s="82">
        <v>1</v>
      </c>
      <c r="B16" s="83"/>
      <c r="C16" s="84"/>
      <c r="D16" s="85"/>
      <c r="E16" s="85"/>
      <c r="F16" s="86" t="s">
        <v>18</v>
      </c>
      <c r="G16" s="10">
        <f>INT(SUM(G6:G15))</f>
        <v>526630</v>
      </c>
      <c r="H16" s="200" t="s">
        <v>29</v>
      </c>
      <c r="I16" s="87"/>
      <c r="J16" s="88"/>
      <c r="K16" s="89"/>
      <c r="L16" s="85"/>
      <c r="M16" s="86" t="s">
        <v>18</v>
      </c>
      <c r="N16" s="41">
        <f>INT(SUM(N6:N15))</f>
        <v>144000</v>
      </c>
      <c r="O16" s="90"/>
      <c r="P16" s="91"/>
      <c r="Q16" s="92"/>
      <c r="R16" s="93"/>
      <c r="S16" s="93"/>
      <c r="T16" s="89"/>
      <c r="U16" s="89"/>
      <c r="V16" s="93"/>
      <c r="W16" s="89"/>
      <c r="X16" s="386"/>
      <c r="Y16" s="94" t="s">
        <v>18</v>
      </c>
      <c r="Z16" s="10">
        <f>INT(SUM(Z6:Z15))</f>
        <v>347395</v>
      </c>
    </row>
    <row r="17" spans="1:26" ht="19.5" customHeight="1" thickTop="1">
      <c r="A17" s="175">
        <f>IF($U$3&gt;0,"口絵",0)</f>
        <v>0</v>
      </c>
      <c r="B17" s="176">
        <f>IF(A17="口絵","製版",0)</f>
        <v>0</v>
      </c>
      <c r="C17" s="42">
        <f>(A19+A21)/2</f>
        <v>0</v>
      </c>
      <c r="D17" s="42">
        <f>IF(H17="口絵（３２頁）",32*L17,0)+IF(H18="口絵（１６頁）",16*L18,0)+IF(H19="口絵（　８頁）",8*L19,0)+IF(H20="口絵（　４頁）",4*L20,0)+IF(H21="口絵（　２頁）",2*L21,0)</f>
        <v>0</v>
      </c>
      <c r="E17" s="42"/>
      <c r="F17" s="17">
        <f>IF($A$17="口絵",5000,0)</f>
        <v>0</v>
      </c>
      <c r="G17" s="40">
        <f>C17*D17*F17</f>
        <v>0</v>
      </c>
      <c r="H17" s="177">
        <f>IF(L17&gt;0,"口絵（３２頁）",0)</f>
        <v>0</v>
      </c>
      <c r="I17" s="42">
        <v>1</v>
      </c>
      <c r="J17" s="42">
        <f>IF(L17&gt;0,$A$19+$A$21,0)</f>
        <v>0</v>
      </c>
      <c r="K17" s="44">
        <f>IF(ISERROR((I17*T17)/L17),0,(I17*T17)/L17)</f>
        <v>0</v>
      </c>
      <c r="L17" s="42">
        <f>IF(MOD($U$3/32,1)=0,$U$3/32,INT($U$3/32))</f>
        <v>0</v>
      </c>
      <c r="M17" s="43">
        <f>IF(L17&gt;0,tanka(K17),0)</f>
        <v>0</v>
      </c>
      <c r="N17" s="40">
        <f>IF(K17&lt;=5000,INT(J17*L17*M17),INT(J17*K17*L17*M17))</f>
        <v>0</v>
      </c>
      <c r="O17" s="74">
        <f>IF(L17&gt;0,"口絵 用紙",0)</f>
        <v>0</v>
      </c>
      <c r="P17" s="178"/>
      <c r="Q17" s="44">
        <f>IF(L17&gt;0,$D$1,0)</f>
        <v>0</v>
      </c>
      <c r="R17" s="42">
        <f>IF(L17&gt;0,32,0)</f>
        <v>0</v>
      </c>
      <c r="S17" s="42">
        <f>IF(L17&gt;0,32,0)</f>
        <v>0</v>
      </c>
      <c r="T17" s="44">
        <f>INT(IF(ISERROR(Q17*(R17/S17)),0,Q17*(R17/S17)*L17))</f>
        <v>0</v>
      </c>
      <c r="U17" s="44">
        <f>V17*100</f>
        <v>100</v>
      </c>
      <c r="V17" s="27">
        <f>(A19+A21)+1</f>
        <v>1</v>
      </c>
      <c r="W17" s="44">
        <f>IF(T17&gt;0,IF(Q17*V17/100&gt;U17,T17*(1+V17/100),T17+U17*L17),0)</f>
        <v>0</v>
      </c>
      <c r="X17" s="381"/>
      <c r="Y17" s="29"/>
      <c r="Z17" s="5">
        <f>INT(W17*Y17)</f>
        <v>0</v>
      </c>
    </row>
    <row r="18" spans="1:26" ht="19.5" customHeight="1">
      <c r="A18" s="179"/>
      <c r="B18" s="176">
        <f>IF(A17="口絵","刷版",0)</f>
        <v>0</v>
      </c>
      <c r="C18" s="42">
        <f>A19+A21</f>
        <v>0</v>
      </c>
      <c r="D18" s="44"/>
      <c r="E18" s="42">
        <f>L17+L18+L19+L20+L21</f>
        <v>0</v>
      </c>
      <c r="F18" s="17">
        <f>IF($A$17="口絵",3000,0)</f>
        <v>0</v>
      </c>
      <c r="G18" s="40">
        <f>C18*F18*E18</f>
        <v>0</v>
      </c>
      <c r="H18" s="177">
        <f>IF(L18&gt;0,"口絵（１６頁）",0)</f>
        <v>0</v>
      </c>
      <c r="I18" s="42">
        <v>1</v>
      </c>
      <c r="J18" s="42">
        <f>IF(L18&gt;0,$A$19+$A$21,0)</f>
        <v>0</v>
      </c>
      <c r="K18" s="44">
        <f>IF(ISERROR((I18*T18)/L18),0,(I18*T18)/L18)</f>
        <v>0</v>
      </c>
      <c r="L18" s="42">
        <f>IF(OR(MOD($U$3/32,1)=0.5,MOD($U$3/32,1)=0.625,MOD($U$3/32,1)=0.75,MOD($U$3/32,1)=0.875,MOD($U$3/32,1)=0.53125,MOD($U$3/32,1)=0.5625,MOD($U$3/32,1)=0.59375,MOD($U$3/32,1)=0.65625,MOD($U$3/32,1)=0.6875,MOD($U$3/32,1)=0.71875,MOD($U$3/32,1)=0.78125,MOD($U$3/32,1)=0.8125,MOD($U$3/32,1)=0.84375,MOD($U$3/32,1)=0.90625,MOD($U$3/32,1)=0.9375,MOD($U$3/32,1)=0.96875),1,0)</f>
        <v>0</v>
      </c>
      <c r="M18" s="43">
        <f>IF(L18&gt;0,tanka(K18),0)</f>
        <v>0</v>
      </c>
      <c r="N18" s="40">
        <f>IF(K18&lt;=5000,INT(J18*L18*M18),INT(J18*K18*L18*M18))</f>
        <v>0</v>
      </c>
      <c r="O18" s="74">
        <f>IF(L18&gt;0,"口絵 用紙",0)</f>
        <v>0</v>
      </c>
      <c r="P18" s="178"/>
      <c r="Q18" s="44">
        <f>IF(L18&gt;0,$D$1,0)</f>
        <v>0</v>
      </c>
      <c r="R18" s="42">
        <f>IF(L18&gt;0,16,0)</f>
        <v>0</v>
      </c>
      <c r="S18" s="42">
        <f>IF(L18&gt;0,32,0)</f>
        <v>0</v>
      </c>
      <c r="T18" s="44">
        <f>INT(IF(ISERROR(Q18*(R18/S18)),0,Q18*(R18/S18)*L18))</f>
        <v>0</v>
      </c>
      <c r="U18" s="44">
        <f>V18*100</f>
        <v>100</v>
      </c>
      <c r="V18" s="45">
        <f>V17</f>
        <v>1</v>
      </c>
      <c r="W18" s="44">
        <f>IF(T18&gt;0,IF(T18*V18/100&gt;U18,T18*(1+V18/100),T18+U18),0)</f>
        <v>0</v>
      </c>
      <c r="X18" s="381"/>
      <c r="Y18" s="43"/>
      <c r="Z18" s="5">
        <f>INT(W18*Y18)</f>
        <v>0</v>
      </c>
    </row>
    <row r="19" spans="1:26" ht="19.5" customHeight="1">
      <c r="A19" s="80">
        <f>IF($A$17="口絵",4,0)</f>
        <v>0</v>
      </c>
      <c r="B19" s="180">
        <f>IF(A17="口絵","分解代",0)</f>
        <v>0</v>
      </c>
      <c r="C19" s="44"/>
      <c r="D19" s="44"/>
      <c r="E19" s="14"/>
      <c r="F19" s="17">
        <f>IF($A$17="口絵",2500,0)</f>
        <v>0</v>
      </c>
      <c r="G19" s="40">
        <f>E19*F19</f>
        <v>0</v>
      </c>
      <c r="H19" s="177">
        <f>IF(L19&gt;0,"口絵（　８頁）",0)</f>
        <v>0</v>
      </c>
      <c r="I19" s="42">
        <v>1</v>
      </c>
      <c r="J19" s="42">
        <f>IF(L19&gt;0,$A$19+$A$21,0)</f>
        <v>0</v>
      </c>
      <c r="K19" s="44">
        <f>IF(ISERROR((I19*T19)/L19),0,(I19*T19)/L19)</f>
        <v>0</v>
      </c>
      <c r="L19" s="42">
        <f>IF(OR(MOD($U$3/32,1)=0.25,MOD($U$3/32,1)=0.375,MOD($U$3/32,1)=0.75,MOD($U$3/32,1)=0.875,MOD($U$3/32,1)=0.28125,MOD($U$3/32,1)=0.3125,MOD($U$3/32,1)=0.34375,MOD($U$3/32,1)=0.40625,MOD($U$3/32,1)=0.4375,MOD($U$3/32,1)=0.46875,MOD($U$3/32,1)=0.78125,MOD($U$3/32,1)=0.8125,MOD($U$3/32,1)=0.84375,MOD($U$3/32,1)=0.90625,MOD($U$3/32,1)=0.9375,MOD($U$3/32,1)=0.96875),1,0)</f>
        <v>0</v>
      </c>
      <c r="M19" s="43">
        <f>IF(L19&gt;0,tanka(K19),0)</f>
        <v>0</v>
      </c>
      <c r="N19" s="40">
        <f>IF(K19&lt;=5000,INT(J19*L19*M19),INT(J19*K19*L19*M19))</f>
        <v>0</v>
      </c>
      <c r="O19" s="74">
        <f>IF(L19&gt;0,"口絵 用紙",0)</f>
        <v>0</v>
      </c>
      <c r="P19" s="178"/>
      <c r="Q19" s="44">
        <f>IF(L19&gt;0,$D$1,0)</f>
        <v>0</v>
      </c>
      <c r="R19" s="42">
        <f>IF(L19&gt;0,8,0)</f>
        <v>0</v>
      </c>
      <c r="S19" s="42">
        <f>IF(L19&gt;0,32,0)</f>
        <v>0</v>
      </c>
      <c r="T19" s="44">
        <f>INT(IF(ISERROR(Q19*(R19/S19)),0,Q19*(R19/S19)*L19))</f>
        <v>0</v>
      </c>
      <c r="U19" s="44">
        <f>V19*100</f>
        <v>100</v>
      </c>
      <c r="V19" s="45">
        <f>V18</f>
        <v>1</v>
      </c>
      <c r="W19" s="44">
        <f>IF(T19&gt;0,IF(T19*V19/100&gt;U19,T19*(1+V19/100),T19+U19),0)</f>
        <v>0</v>
      </c>
      <c r="X19" s="381"/>
      <c r="Y19" s="43"/>
      <c r="Z19" s="5">
        <f>INT(W19*Y19)</f>
        <v>0</v>
      </c>
    </row>
    <row r="20" spans="1:26" ht="19.5" customHeight="1">
      <c r="A20" s="73" t="s">
        <v>27</v>
      </c>
      <c r="B20" s="181">
        <f>IF(A17="口絵","訂正代",0)</f>
        <v>0</v>
      </c>
      <c r="C20" s="182">
        <f>IF($A$17="口絵",(A19+A21)/2,0)</f>
        <v>0</v>
      </c>
      <c r="D20" s="198" t="s">
        <v>48</v>
      </c>
      <c r="E20" s="199">
        <v>50</v>
      </c>
      <c r="F20" s="38">
        <f>F17*E20*1/100</f>
        <v>0</v>
      </c>
      <c r="G20" s="134">
        <f>C20*F20</f>
        <v>0</v>
      </c>
      <c r="H20" s="177">
        <f>IF(L20&gt;0,"口絵（　４頁）",0)</f>
        <v>0</v>
      </c>
      <c r="I20" s="42">
        <f>IF(L20&gt;0,1,0)</f>
        <v>0</v>
      </c>
      <c r="J20" s="42">
        <f>IF(L20&gt;0,$A$19+$A$21,0)</f>
        <v>0</v>
      </c>
      <c r="K20" s="44">
        <f>IF(ISERROR((I20*T20)/L20),0,(I20*T20)/L20)</f>
        <v>0</v>
      </c>
      <c r="L20" s="42">
        <f>IF(OR(MOD($U$3/32,1)=0.125,MOD($U$3/32,1)=0.375,MOD($U$3/32,1)=0.625,MOD($U$3/32,1)=0.875,MOD($U$3/32,1)=0.15625,MOD($U$3/32,1)=0.1875,MOD($U$3/32,1)=0.21875,MOD($U$3/32,1)=0.40625,MOD($U$3/32,1)=0.4375,MOD($U$3/32,1)=0.46875,MOD($U$3/32,1)=0.65625,MOD($U$3/32,1)=0.6875,MOD($U$3/32,1)=0.71875,MOD($U$3/32,1)=0.90625,MOD($U$3/32,1)=0.9375,MOD($U$3/32,1)=0.96875),1,0)</f>
        <v>0</v>
      </c>
      <c r="M20" s="43">
        <f>IF(L20&gt;0,tanka(K20),0)</f>
        <v>0</v>
      </c>
      <c r="N20" s="40">
        <f>IF(K20&lt;=5000,INT(J20*L20*M20),INT(J20*K20*L20*M20))</f>
        <v>0</v>
      </c>
      <c r="O20" s="74">
        <f>IF(L20&gt;0,"口絵 用紙",0)</f>
        <v>0</v>
      </c>
      <c r="P20" s="183"/>
      <c r="Q20" s="44">
        <f>IF(L20&gt;0,$D$1,0)</f>
        <v>0</v>
      </c>
      <c r="R20" s="42">
        <f>IF(L20&gt;0,4,0)</f>
        <v>0</v>
      </c>
      <c r="S20" s="42">
        <f>IF(L20&gt;0,32,0)</f>
        <v>0</v>
      </c>
      <c r="T20" s="44">
        <f>INT(IF(ISERROR(Q20*(R20/S20)),0,Q20*(R20/S20)*L20))</f>
        <v>0</v>
      </c>
      <c r="U20" s="44">
        <f>V20*100</f>
        <v>100</v>
      </c>
      <c r="V20" s="45">
        <f>V19</f>
        <v>1</v>
      </c>
      <c r="W20" s="44">
        <f>IF(T20&gt;0,IF(T20*V20/100&gt;U20,T20*(1+V20/100),T20+U20),0)</f>
        <v>0</v>
      </c>
      <c r="X20" s="381"/>
      <c r="Y20" s="43"/>
      <c r="Z20" s="5">
        <f>INT(W20*Y20)</f>
        <v>0</v>
      </c>
    </row>
    <row r="21" spans="1:26" ht="19.5" customHeight="1">
      <c r="A21" s="80">
        <f>IF($A$17="口絵",4,0)</f>
        <v>0</v>
      </c>
      <c r="B21" s="184"/>
      <c r="C21" s="185"/>
      <c r="D21" s="186"/>
      <c r="E21" s="186"/>
      <c r="F21" s="186"/>
      <c r="G21" s="187"/>
      <c r="H21" s="177">
        <f>IF(L21&gt;0,"口絵（　２頁）",0)</f>
        <v>0</v>
      </c>
      <c r="I21" s="42">
        <f>IF(L21&gt;0,1,0)</f>
        <v>0</v>
      </c>
      <c r="J21" s="42">
        <f>IF(L21&gt;0,$A$19+$A$21,0)</f>
        <v>0</v>
      </c>
      <c r="K21" s="44">
        <f>IF(ISERROR((I21*T21)/L21),0,(I21*T21)/L21)</f>
        <v>0</v>
      </c>
      <c r="L21" s="42">
        <f>IF(OR(MOD($U$3/32,1)=0.0625,MOD($U$3/32,1)=0.09375,MOD($U$3/32,1)=0.1875,MOD($U$3/32,1)=0.21875,MOD($U$3/32,1)=0.3125,MOD($U$3/32,1)=0.34375,MOD($U$3/32,1)=0.4375,MOD($U$3/32,1)=0.46875,MOD($U$3/32,1)=0.5625,MOD($U$3/32,1)=0.59375,MOD($U$3/32,1)=0.6875,MOD($U$3/32,1)=0.71875,MOD($U$3/32,1)=0.8125,MOD($U$3/32,1)=0.84375,MOD($U$3/32,1)=0.9375,MOD($U$3/32,1)=0.96875),1,0)</f>
        <v>0</v>
      </c>
      <c r="M21" s="43">
        <f>IF(L21&gt;0,tanka(K21),0)</f>
        <v>0</v>
      </c>
      <c r="N21" s="40">
        <f>IF(K21&lt;=5000,INT(J21*L21*M21),INT(J21*K21*L21*M21))</f>
        <v>0</v>
      </c>
      <c r="O21" s="74">
        <f>IF(L21&gt;0,"口絵 用紙",0)</f>
        <v>0</v>
      </c>
      <c r="P21" s="147"/>
      <c r="Q21" s="44">
        <f>IF(L21&gt;0,$D$1,0)</f>
        <v>0</v>
      </c>
      <c r="R21" s="42">
        <f>IF(L21&gt;0,2,0)</f>
        <v>0</v>
      </c>
      <c r="S21" s="42">
        <f>IF(L21&gt;0,32,0)</f>
        <v>0</v>
      </c>
      <c r="T21" s="44">
        <f>INT(IF(ISERROR(Q21*(R21/S21)),0,Q21*(R21/S21)*L21))</f>
        <v>0</v>
      </c>
      <c r="U21" s="44">
        <f>V21*100</f>
        <v>100</v>
      </c>
      <c r="V21" s="45">
        <f>V20</f>
        <v>1</v>
      </c>
      <c r="W21" s="44">
        <f>IF(T21&gt;0,IF(T21*V21/100&gt;U21,T21*(1+V21/100),T21+U21),0)</f>
        <v>0</v>
      </c>
      <c r="X21" s="381"/>
      <c r="Y21" s="43"/>
      <c r="Z21" s="5">
        <f>INT(W21*Y21)</f>
        <v>0</v>
      </c>
    </row>
    <row r="22" spans="1:26" ht="19.5" customHeight="1" thickBot="1">
      <c r="A22" s="80"/>
      <c r="B22" s="184"/>
      <c r="C22" s="188"/>
      <c r="D22" s="186"/>
      <c r="E22" s="186"/>
      <c r="F22" s="186"/>
      <c r="G22" s="187"/>
      <c r="H22" s="177"/>
      <c r="I22" s="42"/>
      <c r="J22" s="42"/>
      <c r="K22" s="44"/>
      <c r="L22" s="42"/>
      <c r="M22" s="43"/>
      <c r="N22" s="40"/>
      <c r="O22" s="74"/>
      <c r="P22" s="147"/>
      <c r="Q22" s="44"/>
      <c r="R22" s="42"/>
      <c r="S22" s="42"/>
      <c r="T22" s="44"/>
      <c r="U22" s="44"/>
      <c r="V22" s="45"/>
      <c r="W22" s="44"/>
      <c r="X22" s="387"/>
      <c r="Y22" s="133"/>
      <c r="Z22" s="5"/>
    </row>
    <row r="23" spans="1:26" ht="19.5" customHeight="1" thickTop="1" thickBot="1">
      <c r="A23" s="73"/>
      <c r="B23" s="184"/>
      <c r="C23" s="188"/>
      <c r="D23" s="186"/>
      <c r="E23" s="186"/>
      <c r="F23" s="186"/>
      <c r="G23" s="187"/>
      <c r="H23" s="177"/>
      <c r="I23" s="42"/>
      <c r="J23" s="42"/>
      <c r="K23" s="44"/>
      <c r="L23" s="42"/>
      <c r="M23" s="43"/>
      <c r="N23" s="40"/>
      <c r="O23" s="74"/>
      <c r="P23" s="147"/>
      <c r="Q23" s="44"/>
      <c r="R23" s="42"/>
      <c r="S23" s="42"/>
      <c r="T23" s="44"/>
      <c r="U23" s="44"/>
      <c r="V23" s="45"/>
      <c r="W23" s="324">
        <f>ROUNDUP(SUM(W17:W21)/250,0)*250</f>
        <v>0</v>
      </c>
      <c r="X23" s="388">
        <v>75.5</v>
      </c>
      <c r="Y23" s="326">
        <v>145</v>
      </c>
      <c r="Z23" s="11">
        <f>ROUND(W23*X23*Y23/1000,0)</f>
        <v>0</v>
      </c>
    </row>
    <row r="24" spans="1:26" ht="19.5" customHeight="1" thickTop="1" thickBot="1">
      <c r="A24" s="189"/>
      <c r="B24" s="190"/>
      <c r="C24" s="191"/>
      <c r="D24" s="191"/>
      <c r="E24" s="191"/>
      <c r="F24" s="192" t="s">
        <v>18</v>
      </c>
      <c r="G24" s="193">
        <f>G17+G18+G19+G20+G21+G23</f>
        <v>0</v>
      </c>
      <c r="H24" s="203" t="s">
        <v>49</v>
      </c>
      <c r="I24" s="191"/>
      <c r="J24" s="191"/>
      <c r="K24" s="191"/>
      <c r="L24" s="191"/>
      <c r="M24" s="192" t="s">
        <v>18</v>
      </c>
      <c r="N24" s="193">
        <f>INT(N17+N18+N19+N20+N21+N23)</f>
        <v>0</v>
      </c>
      <c r="O24" s="194"/>
      <c r="P24" s="191"/>
      <c r="Q24" s="191"/>
      <c r="R24" s="191" t="s">
        <v>50</v>
      </c>
      <c r="S24" s="191"/>
      <c r="T24" s="191"/>
      <c r="U24" s="191"/>
      <c r="V24" s="191"/>
      <c r="W24" s="191"/>
      <c r="X24" s="389"/>
      <c r="Y24" s="325" t="s">
        <v>18</v>
      </c>
      <c r="Z24" s="195">
        <f>INT(SUM(Z17:Z23))</f>
        <v>0</v>
      </c>
    </row>
    <row r="25" spans="1:26" ht="19.5" customHeight="1" thickTop="1" thickBot="1">
      <c r="A25" s="95" t="s">
        <v>30</v>
      </c>
      <c r="B25" s="96" t="s">
        <v>21</v>
      </c>
      <c r="C25" s="6">
        <f>A27+A29</f>
        <v>4</v>
      </c>
      <c r="D25" s="2"/>
      <c r="E25" s="2"/>
      <c r="F25" s="19">
        <v>5500</v>
      </c>
      <c r="G25" s="3">
        <f>C25*F25</f>
        <v>22000</v>
      </c>
      <c r="H25" s="97" t="s">
        <v>31</v>
      </c>
      <c r="I25" s="18">
        <v>2</v>
      </c>
      <c r="J25" s="18">
        <f>(A27+A29)+1</f>
        <v>5</v>
      </c>
      <c r="K25" s="2">
        <f>INT($T$25*$I$25)</f>
        <v>2374</v>
      </c>
      <c r="L25" s="19"/>
      <c r="M25" s="15">
        <f>bhan(K25)</f>
        <v>5800</v>
      </c>
      <c r="N25" s="40">
        <f>IF(M25&gt;50,INT(J25*M25),INT(J25*K25*M25))</f>
        <v>29000</v>
      </c>
      <c r="O25" s="98" t="s">
        <v>32</v>
      </c>
      <c r="P25" s="99"/>
      <c r="Q25" s="19">
        <f>$D$1+$M$1</f>
        <v>9500</v>
      </c>
      <c r="R25" s="18">
        <v>1</v>
      </c>
      <c r="S25" s="18">
        <v>8</v>
      </c>
      <c r="T25" s="46">
        <f>INT(IF(ISERROR($Q$25*(R25/S25)),0,$Q$25*(R25/S25)))</f>
        <v>1187</v>
      </c>
      <c r="U25" s="46">
        <f>V25*100</f>
        <v>500</v>
      </c>
      <c r="V25" s="30">
        <f>(A27+A29)+1</f>
        <v>5</v>
      </c>
      <c r="W25" s="319">
        <f>IF(T25*V25/100&gt;U25,T25*(1+V25/100),T25+U25)</f>
        <v>1687</v>
      </c>
      <c r="X25" s="383">
        <v>110</v>
      </c>
      <c r="Y25" s="318">
        <v>140</v>
      </c>
      <c r="Z25" s="320">
        <f>ROUND(W25*X25*Y25/1000,0)</f>
        <v>25980</v>
      </c>
    </row>
    <row r="26" spans="1:26" ht="19.5" customHeight="1" thickTop="1">
      <c r="A26" s="100"/>
      <c r="B26" s="79" t="s">
        <v>33</v>
      </c>
      <c r="C26" s="14">
        <v>5</v>
      </c>
      <c r="D26" s="31">
        <v>50</v>
      </c>
      <c r="E26" s="44" t="s">
        <v>34</v>
      </c>
      <c r="F26" s="4">
        <v>3750</v>
      </c>
      <c r="G26" s="5">
        <f>C26*F26</f>
        <v>18750</v>
      </c>
      <c r="H26" s="66" t="s">
        <v>169</v>
      </c>
      <c r="I26" s="7"/>
      <c r="J26" s="4"/>
      <c r="K26" s="4">
        <f>K25</f>
        <v>2374</v>
      </c>
      <c r="L26" s="4"/>
      <c r="M26" s="29">
        <v>19</v>
      </c>
      <c r="N26" s="5">
        <f>K26*M26</f>
        <v>45106</v>
      </c>
      <c r="O26" s="101"/>
      <c r="P26" s="102"/>
      <c r="Q26" s="44"/>
      <c r="R26" s="44"/>
      <c r="S26" s="44"/>
      <c r="T26" s="44"/>
      <c r="U26" s="44"/>
      <c r="V26" s="45"/>
      <c r="W26" s="44"/>
      <c r="X26" s="390"/>
      <c r="Y26" s="321"/>
      <c r="Z26" s="40"/>
    </row>
    <row r="27" spans="1:26" ht="19.5" customHeight="1">
      <c r="A27" s="80">
        <v>4</v>
      </c>
      <c r="B27" s="79" t="s">
        <v>35</v>
      </c>
      <c r="C27" s="7"/>
      <c r="D27" s="21"/>
      <c r="E27" s="14"/>
      <c r="F27" s="17"/>
      <c r="G27" s="5">
        <f>E27*F27</f>
        <v>0</v>
      </c>
      <c r="I27" s="31"/>
      <c r="J27" s="34"/>
      <c r="K27" s="17">
        <f>Q25</f>
        <v>9500</v>
      </c>
      <c r="L27" s="17"/>
      <c r="M27" s="29"/>
      <c r="N27" s="16">
        <f>K27*M27</f>
        <v>0</v>
      </c>
      <c r="O27" s="104"/>
      <c r="P27" s="105"/>
      <c r="Q27" s="44"/>
      <c r="R27" s="44"/>
      <c r="S27" s="44"/>
      <c r="T27" s="44"/>
      <c r="U27" s="44"/>
      <c r="V27" s="45"/>
      <c r="W27" s="44"/>
      <c r="X27" s="391"/>
      <c r="Y27" s="43"/>
      <c r="Z27" s="40"/>
    </row>
    <row r="28" spans="1:26" ht="19.5" customHeight="1">
      <c r="A28" s="81" t="s">
        <v>27</v>
      </c>
      <c r="B28" s="63" t="s">
        <v>24</v>
      </c>
      <c r="C28" s="7">
        <f>A27+A29</f>
        <v>4</v>
      </c>
      <c r="D28" s="21"/>
      <c r="E28" s="17"/>
      <c r="F28" s="17">
        <v>2500</v>
      </c>
      <c r="G28" s="5">
        <f>C28*F28</f>
        <v>10000</v>
      </c>
      <c r="H28" s="66"/>
      <c r="I28" s="12"/>
      <c r="J28" s="21"/>
      <c r="K28" s="4"/>
      <c r="L28" s="4"/>
      <c r="M28" s="29"/>
      <c r="N28" s="16">
        <v>50000</v>
      </c>
      <c r="O28" s="74"/>
      <c r="P28" s="105"/>
      <c r="Q28" s="44"/>
      <c r="R28" s="42"/>
      <c r="S28" s="42"/>
      <c r="T28" s="44"/>
      <c r="U28" s="44"/>
      <c r="V28" s="45"/>
      <c r="W28" s="44"/>
      <c r="X28" s="391"/>
      <c r="Y28" s="43"/>
      <c r="Z28" s="40"/>
    </row>
    <row r="29" spans="1:26" ht="19.5" customHeight="1" thickBot="1">
      <c r="A29" s="80">
        <v>0</v>
      </c>
      <c r="B29" s="106"/>
      <c r="C29" s="107"/>
      <c r="D29" s="108"/>
      <c r="E29" s="109"/>
      <c r="F29" s="110" t="s">
        <v>18</v>
      </c>
      <c r="G29" s="9">
        <f>SUM(G25:G28)</f>
        <v>50750</v>
      </c>
      <c r="H29" s="201" t="s">
        <v>36</v>
      </c>
      <c r="I29" s="111"/>
      <c r="J29" s="112"/>
      <c r="K29" s="113"/>
      <c r="L29" s="114"/>
      <c r="M29" s="110" t="s">
        <v>18</v>
      </c>
      <c r="N29" s="47">
        <f>INT(SUM(N25:N28))</f>
        <v>124106</v>
      </c>
      <c r="O29" s="115"/>
      <c r="P29" s="116"/>
      <c r="Q29" s="117"/>
      <c r="R29" s="114"/>
      <c r="S29" s="114"/>
      <c r="T29" s="118"/>
      <c r="U29" s="118"/>
      <c r="V29" s="114"/>
      <c r="W29" s="118"/>
      <c r="X29" s="392"/>
      <c r="Y29" s="119" t="s">
        <v>18</v>
      </c>
      <c r="Z29" s="47">
        <f>INT(SUM(Z25:Z28))</f>
        <v>25980</v>
      </c>
    </row>
    <row r="30" spans="1:26" ht="19.5" customHeight="1" thickTop="1" thickBot="1">
      <c r="A30" s="121" t="s">
        <v>39</v>
      </c>
      <c r="B30" s="96" t="s">
        <v>21</v>
      </c>
      <c r="C30" s="6">
        <f>A31+A33</f>
        <v>2</v>
      </c>
      <c r="D30" s="22"/>
      <c r="E30" s="46"/>
      <c r="F30" s="19">
        <v>4400</v>
      </c>
      <c r="G30" s="3">
        <f>C30*F30</f>
        <v>8800</v>
      </c>
      <c r="H30" s="97" t="s">
        <v>40</v>
      </c>
      <c r="I30" s="18">
        <v>2</v>
      </c>
      <c r="J30" s="35">
        <f>A31+A33-J31</f>
        <v>1</v>
      </c>
      <c r="K30" s="2">
        <f>INT($T$30*$I$30)</f>
        <v>790</v>
      </c>
      <c r="L30" s="2"/>
      <c r="M30" s="20">
        <f>bhan(K30)</f>
        <v>5800</v>
      </c>
      <c r="N30" s="3">
        <f>IF($K$30&lt;=5091,INT($J$30*$M$30),INT($J$30*$K$30*$M$30))</f>
        <v>5800</v>
      </c>
      <c r="O30" s="98" t="s">
        <v>41</v>
      </c>
      <c r="P30" s="120"/>
      <c r="Q30" s="19">
        <f>+$D$1+$M$2</f>
        <v>9500</v>
      </c>
      <c r="R30" s="18">
        <v>1</v>
      </c>
      <c r="S30" s="18">
        <v>24</v>
      </c>
      <c r="T30" s="46">
        <f>INT(IF(ISERROR($Q$30*(R30/S30)),0,$Q$30*(R30/S30)))</f>
        <v>395</v>
      </c>
      <c r="U30" s="46">
        <f>V30*100</f>
        <v>300</v>
      </c>
      <c r="V30" s="30">
        <f>(A31+A33)+1</f>
        <v>3</v>
      </c>
      <c r="W30" s="322">
        <f>IF(T30*V30/100&gt;U30,T30*(1+V30/100),T30+U30)</f>
        <v>695</v>
      </c>
      <c r="X30" s="383">
        <v>100</v>
      </c>
      <c r="Y30" s="318">
        <v>501</v>
      </c>
      <c r="Z30" s="320">
        <f>ROUND(W30*X30*Y30/1000,0)</f>
        <v>34820</v>
      </c>
    </row>
    <row r="31" spans="1:26" ht="19.5" customHeight="1" thickTop="1">
      <c r="A31" s="122">
        <v>2</v>
      </c>
      <c r="B31" s="63" t="s">
        <v>24</v>
      </c>
      <c r="C31" s="7">
        <f>A31+A33</f>
        <v>2</v>
      </c>
      <c r="D31" s="21"/>
      <c r="E31" s="44"/>
      <c r="F31" s="17">
        <v>2000</v>
      </c>
      <c r="G31" s="5">
        <f>C31*F31</f>
        <v>4000</v>
      </c>
      <c r="H31" s="66" t="s">
        <v>42</v>
      </c>
      <c r="I31" s="12"/>
      <c r="J31" s="14">
        <v>1</v>
      </c>
      <c r="K31" s="4">
        <f>$K$30</f>
        <v>790</v>
      </c>
      <c r="L31" s="4"/>
      <c r="M31" s="15">
        <f>bhan(K31)</f>
        <v>5800</v>
      </c>
      <c r="N31" s="5">
        <f>IF($K$30&lt;=5091,INT($J$31*$M$31),INT($J$31*$K$31*$M$31))</f>
        <v>5800</v>
      </c>
      <c r="O31" s="123"/>
      <c r="P31" s="102"/>
      <c r="Q31" s="44"/>
      <c r="R31" s="44"/>
      <c r="S31" s="44"/>
      <c r="T31" s="44"/>
      <c r="U31" s="44"/>
      <c r="V31" s="45"/>
      <c r="W31" s="44"/>
      <c r="X31" s="390"/>
      <c r="Y31" s="321"/>
      <c r="Z31" s="40"/>
    </row>
    <row r="32" spans="1:26" ht="19.5" customHeight="1">
      <c r="A32" s="81" t="s">
        <v>27</v>
      </c>
      <c r="B32" s="124" t="s">
        <v>38</v>
      </c>
      <c r="C32" s="125"/>
      <c r="D32" s="33">
        <v>12000</v>
      </c>
      <c r="E32" s="126" t="s">
        <v>37</v>
      </c>
      <c r="F32" s="32"/>
      <c r="G32" s="127"/>
      <c r="H32" s="128"/>
      <c r="I32" s="23"/>
      <c r="J32" s="24"/>
      <c r="K32" s="36"/>
      <c r="L32" s="25"/>
      <c r="M32" s="37"/>
      <c r="N32" s="26">
        <f>INT(K32*M32)</f>
        <v>0</v>
      </c>
      <c r="O32" s="129"/>
      <c r="P32" s="130"/>
      <c r="Q32" s="131"/>
      <c r="R32" s="131"/>
      <c r="S32" s="131"/>
      <c r="T32" s="131"/>
      <c r="U32" s="131"/>
      <c r="V32" s="132"/>
      <c r="W32" s="131"/>
      <c r="X32" s="393"/>
      <c r="Y32" s="133"/>
      <c r="Z32" s="134"/>
    </row>
    <row r="33" spans="1:26" ht="19.5" customHeight="1" thickBot="1">
      <c r="A33" s="82">
        <v>0</v>
      </c>
      <c r="B33" s="135"/>
      <c r="C33" s="136"/>
      <c r="D33" s="136"/>
      <c r="E33" s="136"/>
      <c r="F33" s="94" t="s">
        <v>18</v>
      </c>
      <c r="G33" s="8">
        <f>G30+G31+D32+F32</f>
        <v>24800</v>
      </c>
      <c r="H33" s="202" t="s">
        <v>43</v>
      </c>
      <c r="I33" s="138"/>
      <c r="J33" s="136"/>
      <c r="K33" s="139"/>
      <c r="L33" s="140"/>
      <c r="M33" s="141" t="s">
        <v>18</v>
      </c>
      <c r="N33" s="10">
        <f>INT(SUM(N30:N32))</f>
        <v>11600</v>
      </c>
      <c r="O33" s="142"/>
      <c r="P33" s="136"/>
      <c r="Q33" s="136"/>
      <c r="R33" s="143"/>
      <c r="S33" s="144"/>
      <c r="T33" s="136"/>
      <c r="U33" s="136"/>
      <c r="V33" s="136"/>
      <c r="W33" s="136"/>
      <c r="X33" s="394"/>
      <c r="Y33" s="94" t="s">
        <v>18</v>
      </c>
      <c r="Z33" s="41">
        <f>INT(SUM(Z30:Z32))</f>
        <v>34820</v>
      </c>
    </row>
    <row r="34" spans="1:26" ht="19.5" customHeight="1" thickTop="1" thickBot="1">
      <c r="A34" s="145" t="s">
        <v>44</v>
      </c>
      <c r="B34" s="96" t="s">
        <v>21</v>
      </c>
      <c r="C34" s="146">
        <f>$A$35+$A$37</f>
        <v>1</v>
      </c>
      <c r="D34" s="147"/>
      <c r="E34" s="147"/>
      <c r="F34" s="148">
        <v>3500</v>
      </c>
      <c r="G34" s="149">
        <f>C34*F34</f>
        <v>3500</v>
      </c>
      <c r="H34" s="128" t="s">
        <v>45</v>
      </c>
      <c r="I34" s="150">
        <v>3</v>
      </c>
      <c r="J34" s="151">
        <f>A35+A37</f>
        <v>1</v>
      </c>
      <c r="K34" s="2">
        <f>INT($T$34*$I$34)</f>
        <v>1875</v>
      </c>
      <c r="L34" s="152"/>
      <c r="M34" s="15">
        <f>bhan(K34)</f>
        <v>5800</v>
      </c>
      <c r="N34" s="3">
        <f>IF($K$34&lt;=5000,INT($J$34*$M$34),INT($J$34*$M$34*$K$34))</f>
        <v>5800</v>
      </c>
      <c r="O34" s="153" t="s">
        <v>46</v>
      </c>
      <c r="P34" s="147"/>
      <c r="Q34" s="154">
        <f>$D$1</f>
        <v>7500</v>
      </c>
      <c r="R34" s="155">
        <v>1</v>
      </c>
      <c r="S34" s="156">
        <v>12</v>
      </c>
      <c r="T34" s="2">
        <f>INT(IF(ISERROR($Q$34*(R34/S34)),0,$Q$34*(R34/S34)))</f>
        <v>625</v>
      </c>
      <c r="U34" s="46">
        <f>V34*100</f>
        <v>200</v>
      </c>
      <c r="V34" s="30">
        <f>(A35+A37)+1</f>
        <v>2</v>
      </c>
      <c r="W34" s="319">
        <f>IF(T34*V34/100&gt;U34,T34*(1+V34/100),T34+U34)</f>
        <v>825</v>
      </c>
      <c r="X34" s="383">
        <v>210</v>
      </c>
      <c r="Y34" s="318">
        <v>240</v>
      </c>
      <c r="Z34" s="320">
        <f>ROUND(W34*X34*Y34/1000,0)</f>
        <v>41580</v>
      </c>
    </row>
    <row r="35" spans="1:26" ht="19.5" customHeight="1" thickTop="1">
      <c r="A35" s="122">
        <v>1</v>
      </c>
      <c r="B35" s="63" t="s">
        <v>24</v>
      </c>
      <c r="C35" s="146">
        <f>$A$35+$A$37</f>
        <v>1</v>
      </c>
      <c r="D35" s="147"/>
      <c r="E35" s="147"/>
      <c r="F35" s="159">
        <v>2500</v>
      </c>
      <c r="G35" s="149">
        <f>C35*F35</f>
        <v>2500</v>
      </c>
      <c r="H35" s="160"/>
      <c r="I35" s="161"/>
      <c r="J35" s="147"/>
      <c r="K35" s="162"/>
      <c r="L35" s="163"/>
      <c r="M35" s="164"/>
      <c r="N35" s="165"/>
      <c r="O35" s="166"/>
      <c r="P35" s="147"/>
      <c r="Q35" s="167"/>
      <c r="R35" s="168"/>
      <c r="S35" s="169"/>
      <c r="T35" s="147"/>
      <c r="U35" s="147"/>
      <c r="V35" s="147"/>
      <c r="W35" s="170"/>
      <c r="X35" s="395"/>
      <c r="Y35" s="323"/>
      <c r="Z35" s="11"/>
    </row>
    <row r="36" spans="1:26" ht="19.5" customHeight="1">
      <c r="A36" s="81" t="s">
        <v>27</v>
      </c>
      <c r="B36" s="124" t="s">
        <v>47</v>
      </c>
      <c r="C36" s="171"/>
      <c r="D36" s="172"/>
      <c r="E36" s="173"/>
      <c r="F36" s="148">
        <v>2500</v>
      </c>
      <c r="G36" s="165"/>
      <c r="H36" s="160"/>
      <c r="I36" s="161"/>
      <c r="J36" s="147"/>
      <c r="K36" s="162"/>
      <c r="L36" s="163"/>
      <c r="M36" s="164"/>
      <c r="N36" s="165"/>
      <c r="O36" s="153"/>
      <c r="P36" s="147"/>
      <c r="Q36" s="154"/>
      <c r="R36" s="155"/>
      <c r="S36" s="156"/>
      <c r="T36" s="4"/>
      <c r="U36" s="309"/>
      <c r="V36" s="157"/>
      <c r="W36" s="4"/>
      <c r="X36" s="396"/>
      <c r="Y36" s="158"/>
      <c r="Z36" s="5"/>
    </row>
    <row r="37" spans="1:26" ht="19.5" customHeight="1" thickBot="1">
      <c r="A37" s="82">
        <v>0</v>
      </c>
      <c r="B37" s="135"/>
      <c r="C37" s="136"/>
      <c r="D37" s="136"/>
      <c r="E37" s="136"/>
      <c r="F37" s="94" t="s">
        <v>18</v>
      </c>
      <c r="G37" s="8">
        <f>G34+G35+D36+F36</f>
        <v>8500</v>
      </c>
      <c r="H37" s="137"/>
      <c r="I37" s="138"/>
      <c r="J37" s="136"/>
      <c r="K37" s="139"/>
      <c r="L37" s="140"/>
      <c r="M37" s="141" t="s">
        <v>18</v>
      </c>
      <c r="N37" s="10">
        <f>INT(SUM(N34:N36))</f>
        <v>5800</v>
      </c>
      <c r="O37" s="142"/>
      <c r="P37" s="136"/>
      <c r="Q37" s="136"/>
      <c r="R37" s="143"/>
      <c r="S37" s="144"/>
      <c r="T37" s="136"/>
      <c r="U37" s="136"/>
      <c r="V37" s="136"/>
      <c r="W37" s="136"/>
      <c r="X37" s="394"/>
      <c r="Y37" s="94" t="s">
        <v>18</v>
      </c>
      <c r="Z37" s="10">
        <f>INT(SUM(Z34:Z36))</f>
        <v>41580</v>
      </c>
    </row>
    <row r="38" spans="1:26" ht="19.5" customHeight="1" thickTop="1" thickBot="1">
      <c r="A38" s="145" t="s">
        <v>152</v>
      </c>
      <c r="B38" s="96" t="s">
        <v>21</v>
      </c>
      <c r="C38" s="146">
        <f>$A$39+$A$41</f>
        <v>1</v>
      </c>
      <c r="D38" s="147"/>
      <c r="E38" s="147"/>
      <c r="F38" s="148">
        <v>2500</v>
      </c>
      <c r="G38" s="149">
        <f>C38*F38</f>
        <v>2500</v>
      </c>
      <c r="H38" s="128" t="s">
        <v>153</v>
      </c>
      <c r="I38" s="150">
        <v>2</v>
      </c>
      <c r="J38" s="151">
        <f>A39+A41</f>
        <v>1</v>
      </c>
      <c r="K38" s="2">
        <f>INT($T$34*$I$34)</f>
        <v>1875</v>
      </c>
      <c r="L38" s="152"/>
      <c r="M38" s="15">
        <f>bhan(K38)</f>
        <v>5800</v>
      </c>
      <c r="N38" s="3">
        <f>IF($K$38&lt;=5000,INT($J$38*$M$38),INT($J$38*$M$38*$K$38))</f>
        <v>5800</v>
      </c>
      <c r="O38" s="153" t="s">
        <v>154</v>
      </c>
      <c r="P38" s="147"/>
      <c r="Q38" s="154">
        <f>$D$1</f>
        <v>7500</v>
      </c>
      <c r="R38" s="155">
        <v>1</v>
      </c>
      <c r="S38" s="156">
        <v>32</v>
      </c>
      <c r="T38" s="2">
        <f>INT(IF(ISERROR($Q$38*(R38/S38)),0,$Q$38*(R38/S38)))</f>
        <v>234</v>
      </c>
      <c r="U38" s="46">
        <f>V38*100</f>
        <v>200</v>
      </c>
      <c r="V38" s="30">
        <f>(A39+A41)+1</f>
        <v>2</v>
      </c>
      <c r="W38" s="319">
        <f>IF(T38*V38/100&gt;U38,T38*(1+V38/100),T38+U38)</f>
        <v>434</v>
      </c>
      <c r="X38" s="397">
        <v>108</v>
      </c>
      <c r="Y38" s="318">
        <v>537</v>
      </c>
      <c r="Z38" s="320">
        <f>ROUND(W38*X38*Y38/1000,0)</f>
        <v>25170</v>
      </c>
    </row>
    <row r="39" spans="1:26" ht="19.5" customHeight="1" thickTop="1">
      <c r="A39" s="122">
        <v>1</v>
      </c>
      <c r="B39" s="63" t="s">
        <v>24</v>
      </c>
      <c r="C39" s="146">
        <f>$A$39+$A$41</f>
        <v>1</v>
      </c>
      <c r="D39" s="147"/>
      <c r="E39" s="147"/>
      <c r="F39" s="148">
        <v>2200</v>
      </c>
      <c r="G39" s="149">
        <f>C39*F39</f>
        <v>2200</v>
      </c>
      <c r="H39" s="160"/>
      <c r="I39" s="161"/>
      <c r="J39" s="147"/>
      <c r="K39" s="162"/>
      <c r="L39" s="163"/>
      <c r="M39" s="164"/>
      <c r="N39" s="165"/>
      <c r="O39" s="166"/>
      <c r="P39" s="147"/>
      <c r="Q39" s="167"/>
      <c r="R39" s="168"/>
      <c r="S39" s="169"/>
      <c r="T39" s="147"/>
      <c r="U39" s="147"/>
      <c r="V39" s="147"/>
      <c r="W39" s="170"/>
      <c r="X39" s="398"/>
      <c r="Y39" s="323"/>
      <c r="Z39" s="11"/>
    </row>
    <row r="40" spans="1:26" ht="19.5" customHeight="1">
      <c r="A40" s="81" t="s">
        <v>27</v>
      </c>
      <c r="B40" s="124" t="s">
        <v>47</v>
      </c>
      <c r="C40" s="171"/>
      <c r="D40" s="172"/>
      <c r="E40" s="173"/>
      <c r="F40" s="174"/>
      <c r="G40" s="165"/>
      <c r="H40" s="160"/>
      <c r="I40" s="161"/>
      <c r="J40" s="147"/>
      <c r="K40" s="162"/>
      <c r="L40" s="163"/>
      <c r="M40" s="164"/>
      <c r="N40" s="165"/>
      <c r="O40" s="153"/>
      <c r="P40" s="147"/>
      <c r="Q40" s="154"/>
      <c r="R40" s="155"/>
      <c r="S40" s="156"/>
      <c r="T40" s="4"/>
      <c r="U40" s="309"/>
      <c r="V40" s="157"/>
      <c r="W40" s="4"/>
      <c r="X40" s="399"/>
      <c r="Y40" s="158"/>
      <c r="Z40" s="5"/>
    </row>
    <row r="41" spans="1:26" ht="19.5" customHeight="1" thickBot="1">
      <c r="A41" s="82">
        <v>0</v>
      </c>
      <c r="B41" s="135"/>
      <c r="C41" s="136"/>
      <c r="D41" s="136"/>
      <c r="E41" s="136"/>
      <c r="F41" s="94" t="s">
        <v>18</v>
      </c>
      <c r="G41" s="8">
        <f>G38+G39+D40+F40</f>
        <v>4700</v>
      </c>
      <c r="H41" s="137"/>
      <c r="I41" s="138"/>
      <c r="J41" s="136"/>
      <c r="K41" s="139"/>
      <c r="L41" s="140"/>
      <c r="M41" s="141" t="s">
        <v>18</v>
      </c>
      <c r="N41" s="10">
        <f>INT(SUM(N38:N40))</f>
        <v>5800</v>
      </c>
      <c r="O41" s="142"/>
      <c r="P41" s="136"/>
      <c r="Q41" s="136"/>
      <c r="R41" s="143"/>
      <c r="S41" s="144"/>
      <c r="T41" s="136"/>
      <c r="U41" s="136"/>
      <c r="V41" s="136"/>
      <c r="W41" s="136"/>
      <c r="X41" s="400"/>
      <c r="Y41" s="94" t="s">
        <v>18</v>
      </c>
      <c r="Z41" s="10">
        <f>INT(SUM(Z38:Z40))</f>
        <v>25170</v>
      </c>
    </row>
    <row r="42" spans="1:26" ht="19.5" customHeight="1" thickTop="1" thickBot="1">
      <c r="A42" s="145" t="s">
        <v>155</v>
      </c>
      <c r="B42" s="96" t="s">
        <v>21</v>
      </c>
      <c r="C42" s="146">
        <f>$A$43+A45</f>
        <v>0</v>
      </c>
      <c r="D42" s="147"/>
      <c r="E42" s="147"/>
      <c r="F42" s="148">
        <v>2500</v>
      </c>
      <c r="G42" s="149">
        <f>C42*F42</f>
        <v>0</v>
      </c>
      <c r="H42" s="128" t="s">
        <v>156</v>
      </c>
      <c r="I42" s="150">
        <v>1</v>
      </c>
      <c r="J42" s="151">
        <f>A43+A45</f>
        <v>0</v>
      </c>
      <c r="K42" s="2">
        <f>INT($T$34*$I$34)</f>
        <v>1875</v>
      </c>
      <c r="L42" s="152"/>
      <c r="M42" s="15">
        <f>bhan(K42)</f>
        <v>5800</v>
      </c>
      <c r="N42" s="3">
        <f>IF(J42&gt;0,IF($K$42&lt;=5000,INT($J$42*$M$42),INT($J$42*$M$42*$K$42)),0)</f>
        <v>0</v>
      </c>
      <c r="O42" s="153" t="s">
        <v>157</v>
      </c>
      <c r="P42" s="147"/>
      <c r="Q42" s="154">
        <f>$D$1</f>
        <v>7500</v>
      </c>
      <c r="R42" s="155">
        <v>1</v>
      </c>
      <c r="S42" s="156">
        <v>8</v>
      </c>
      <c r="T42" s="2">
        <f>INT(IF(ISERROR($Q$42*(R42/S42)),0,$Q$42*(R42/S42)))</f>
        <v>937</v>
      </c>
      <c r="U42" s="46">
        <f>V42*100</f>
        <v>100</v>
      </c>
      <c r="V42" s="30">
        <f>(A43+A45)+1</f>
        <v>1</v>
      </c>
      <c r="W42" s="319">
        <f>IF(T42*V42/100&gt;U42,T42*(1+V42/100),T42+U42)</f>
        <v>1037</v>
      </c>
      <c r="X42" s="397">
        <v>100</v>
      </c>
      <c r="Y42" s="318">
        <v>533</v>
      </c>
      <c r="Z42" s="320">
        <f>ROUND(W42*X42*Y42/1000,0)</f>
        <v>55272</v>
      </c>
    </row>
    <row r="43" spans="1:26" ht="19.5" customHeight="1" thickTop="1">
      <c r="A43" s="122"/>
      <c r="B43" s="63" t="s">
        <v>24</v>
      </c>
      <c r="C43" s="146">
        <f>$A$43+A45</f>
        <v>0</v>
      </c>
      <c r="D43" s="147"/>
      <c r="E43" s="147"/>
      <c r="F43" s="148">
        <v>2200</v>
      </c>
      <c r="G43" s="149">
        <f>C43*F43</f>
        <v>0</v>
      </c>
      <c r="H43" s="160"/>
      <c r="I43" s="161"/>
      <c r="J43" s="147"/>
      <c r="K43" s="162"/>
      <c r="L43" s="163"/>
      <c r="M43" s="164"/>
      <c r="N43" s="165"/>
      <c r="O43" s="166"/>
      <c r="P43" s="147"/>
      <c r="Q43" s="167"/>
      <c r="R43" s="168"/>
      <c r="S43" s="169"/>
      <c r="T43" s="147"/>
      <c r="U43" s="147"/>
      <c r="V43" s="147"/>
      <c r="W43" s="170"/>
      <c r="X43" s="398"/>
      <c r="Y43" s="323"/>
      <c r="Z43" s="11"/>
    </row>
    <row r="44" spans="1:26" ht="19.5" customHeight="1">
      <c r="A44" s="81" t="s">
        <v>27</v>
      </c>
      <c r="B44" s="124" t="s">
        <v>47</v>
      </c>
      <c r="C44" s="171"/>
      <c r="D44" s="172"/>
      <c r="E44" s="173"/>
      <c r="F44" s="174"/>
      <c r="G44" s="165"/>
      <c r="H44" s="160"/>
      <c r="I44" s="161"/>
      <c r="J44" s="147"/>
      <c r="K44" s="162"/>
      <c r="L44" s="163"/>
      <c r="M44" s="164"/>
      <c r="N44" s="165"/>
      <c r="O44" s="153"/>
      <c r="P44" s="147"/>
      <c r="Q44" s="154"/>
      <c r="R44" s="155"/>
      <c r="S44" s="156"/>
      <c r="T44" s="4"/>
      <c r="U44" s="309"/>
      <c r="V44" s="157"/>
      <c r="W44" s="4"/>
      <c r="X44" s="399"/>
      <c r="Y44" s="158"/>
      <c r="Z44" s="5"/>
    </row>
    <row r="45" spans="1:26" ht="19.5" customHeight="1" thickBot="1">
      <c r="A45" s="82"/>
      <c r="B45" s="135"/>
      <c r="C45" s="136"/>
      <c r="D45" s="136"/>
      <c r="E45" s="136"/>
      <c r="F45" s="94" t="s">
        <v>18</v>
      </c>
      <c r="G45" s="8">
        <f>G42+G43+D44+F44</f>
        <v>0</v>
      </c>
      <c r="H45" s="137"/>
      <c r="I45" s="138"/>
      <c r="J45" s="136"/>
      <c r="K45" s="139"/>
      <c r="L45" s="140"/>
      <c r="M45" s="141" t="s">
        <v>18</v>
      </c>
      <c r="N45" s="10">
        <f>INT(SUM(N42:N44))</f>
        <v>0</v>
      </c>
      <c r="O45" s="142"/>
      <c r="P45" s="136"/>
      <c r="Q45" s="136"/>
      <c r="R45" s="143"/>
      <c r="S45" s="144"/>
      <c r="T45" s="136"/>
      <c r="U45" s="136"/>
      <c r="V45" s="136"/>
      <c r="W45" s="136"/>
      <c r="X45" s="400"/>
      <c r="Y45" s="94" t="s">
        <v>18</v>
      </c>
      <c r="Z45" s="10">
        <f>INT(SUM(Z42:Z44))</f>
        <v>55272</v>
      </c>
    </row>
    <row r="46" spans="1:26" ht="19.5" customHeight="1" thickTop="1" thickBot="1">
      <c r="A46" s="145"/>
      <c r="B46" s="96" t="s">
        <v>21</v>
      </c>
      <c r="C46" s="146">
        <f>$A$55+$A$57</f>
        <v>0</v>
      </c>
      <c r="D46" s="147"/>
      <c r="E46" s="147"/>
      <c r="F46" s="148"/>
      <c r="G46" s="149">
        <f>C46*F46</f>
        <v>0</v>
      </c>
      <c r="H46" s="128"/>
      <c r="I46" s="150">
        <v>1</v>
      </c>
      <c r="J46" s="151">
        <f>A47+A49</f>
        <v>0</v>
      </c>
      <c r="K46" s="2"/>
      <c r="L46" s="152"/>
      <c r="M46" s="15"/>
      <c r="N46" s="3"/>
      <c r="O46" s="153"/>
      <c r="P46" s="147"/>
      <c r="Q46" s="154"/>
      <c r="R46" s="155"/>
      <c r="S46" s="156"/>
      <c r="T46" s="2"/>
      <c r="U46" s="46"/>
      <c r="V46" s="30"/>
      <c r="W46" s="319"/>
      <c r="X46" s="383"/>
      <c r="Y46" s="318"/>
      <c r="Z46" s="320"/>
    </row>
    <row r="47" spans="1:26" ht="19.5" customHeight="1" thickTop="1">
      <c r="A47" s="122"/>
      <c r="B47" s="63" t="s">
        <v>24</v>
      </c>
      <c r="C47" s="146">
        <f>$A$55+$A$57</f>
        <v>0</v>
      </c>
      <c r="D47" s="147"/>
      <c r="E47" s="147"/>
      <c r="F47" s="159"/>
      <c r="G47" s="149">
        <f>C47*F47</f>
        <v>0</v>
      </c>
      <c r="H47" s="160"/>
      <c r="I47" s="161"/>
      <c r="J47" s="147"/>
      <c r="K47" s="162"/>
      <c r="L47" s="163"/>
      <c r="M47" s="164"/>
      <c r="N47" s="165"/>
      <c r="O47" s="166"/>
      <c r="P47" s="147"/>
      <c r="Q47" s="167"/>
      <c r="R47" s="168"/>
      <c r="S47" s="169"/>
      <c r="T47" s="147"/>
      <c r="U47" s="147"/>
      <c r="V47" s="147"/>
      <c r="W47" s="170"/>
      <c r="X47" s="395"/>
      <c r="Y47" s="323"/>
      <c r="Z47" s="11"/>
    </row>
    <row r="48" spans="1:26" ht="19.5" customHeight="1">
      <c r="A48" s="81" t="s">
        <v>27</v>
      </c>
      <c r="B48" s="124" t="s">
        <v>47</v>
      </c>
      <c r="C48" s="171"/>
      <c r="D48" s="172"/>
      <c r="E48" s="173"/>
      <c r="F48" s="174"/>
      <c r="G48" s="165"/>
      <c r="H48" s="160"/>
      <c r="I48" s="161"/>
      <c r="J48" s="147"/>
      <c r="K48" s="162"/>
      <c r="L48" s="163"/>
      <c r="M48" s="164"/>
      <c r="N48" s="165"/>
      <c r="O48" s="153"/>
      <c r="P48" s="147"/>
      <c r="Q48" s="154"/>
      <c r="R48" s="155"/>
      <c r="S48" s="156"/>
      <c r="T48" s="4"/>
      <c r="U48" s="309"/>
      <c r="V48" s="157"/>
      <c r="W48" s="4"/>
      <c r="X48" s="396"/>
      <c r="Y48" s="158"/>
      <c r="Z48" s="5"/>
    </row>
    <row r="49" spans="1:28" ht="19.5" customHeight="1" thickBot="1">
      <c r="A49" s="82"/>
      <c r="B49" s="135"/>
      <c r="C49" s="136"/>
      <c r="D49" s="136"/>
      <c r="E49" s="136"/>
      <c r="F49" s="94" t="s">
        <v>18</v>
      </c>
      <c r="G49" s="8">
        <f>G46+G47+D48+F48</f>
        <v>0</v>
      </c>
      <c r="H49" s="137"/>
      <c r="I49" s="138"/>
      <c r="J49" s="136"/>
      <c r="K49" s="139"/>
      <c r="L49" s="140"/>
      <c r="M49" s="141" t="s">
        <v>18</v>
      </c>
      <c r="N49" s="8">
        <f>N46+N47+K48+M48</f>
        <v>0</v>
      </c>
      <c r="O49" s="142"/>
      <c r="P49" s="136"/>
      <c r="Q49" s="136"/>
      <c r="R49" s="143"/>
      <c r="S49" s="144"/>
      <c r="T49" s="136"/>
      <c r="U49" s="136"/>
      <c r="V49" s="136"/>
      <c r="W49" s="136"/>
      <c r="X49" s="394"/>
      <c r="Y49" s="94" t="s">
        <v>18</v>
      </c>
      <c r="Z49" s="10">
        <f>INT(SUM(Z46:Z48))</f>
        <v>0</v>
      </c>
    </row>
    <row r="50" spans="1:28" ht="19.5" customHeight="1" thickTop="1" thickBot="1">
      <c r="A50" s="145"/>
      <c r="B50" s="96" t="s">
        <v>21</v>
      </c>
      <c r="C50" s="146">
        <f>$A$55+$A$57</f>
        <v>0</v>
      </c>
      <c r="D50" s="147"/>
      <c r="E50" s="147"/>
      <c r="F50" s="148"/>
      <c r="G50" s="149">
        <f>C50*F50</f>
        <v>0</v>
      </c>
      <c r="H50" s="128"/>
      <c r="I50" s="150">
        <v>1</v>
      </c>
      <c r="J50" s="151">
        <f>A51+A53</f>
        <v>0</v>
      </c>
      <c r="K50" s="2"/>
      <c r="L50" s="152"/>
      <c r="M50" s="15"/>
      <c r="N50" s="3"/>
      <c r="O50" s="153"/>
      <c r="P50" s="147"/>
      <c r="Q50" s="154"/>
      <c r="R50" s="155"/>
      <c r="S50" s="156"/>
      <c r="T50" s="2"/>
      <c r="U50" s="46"/>
      <c r="V50" s="30"/>
      <c r="W50" s="319"/>
      <c r="X50" s="383"/>
      <c r="Y50" s="318"/>
      <c r="Z50" s="320"/>
    </row>
    <row r="51" spans="1:28" ht="19.5" customHeight="1" thickTop="1">
      <c r="A51" s="122"/>
      <c r="B51" s="63" t="s">
        <v>24</v>
      </c>
      <c r="C51" s="146">
        <f>$A$55+$A$57</f>
        <v>0</v>
      </c>
      <c r="D51" s="147"/>
      <c r="E51" s="147"/>
      <c r="F51" s="159"/>
      <c r="G51" s="149">
        <f>C51*F51</f>
        <v>0</v>
      </c>
      <c r="H51" s="160"/>
      <c r="I51" s="161"/>
      <c r="J51" s="147"/>
      <c r="K51" s="162"/>
      <c r="L51" s="163"/>
      <c r="M51" s="164"/>
      <c r="N51" s="165"/>
      <c r="O51" s="166"/>
      <c r="P51" s="147"/>
      <c r="Q51" s="167"/>
      <c r="R51" s="168"/>
      <c r="S51" s="169"/>
      <c r="T51" s="147"/>
      <c r="U51" s="147"/>
      <c r="V51" s="147"/>
      <c r="W51" s="170"/>
      <c r="X51" s="395"/>
      <c r="Y51" s="323"/>
      <c r="Z51" s="11"/>
    </row>
    <row r="52" spans="1:28" ht="19.5" customHeight="1">
      <c r="A52" s="81" t="s">
        <v>27</v>
      </c>
      <c r="B52" s="124" t="s">
        <v>47</v>
      </c>
      <c r="C52" s="171"/>
      <c r="D52" s="172"/>
      <c r="E52" s="173"/>
      <c r="F52" s="174"/>
      <c r="G52" s="165"/>
      <c r="H52" s="160"/>
      <c r="I52" s="161"/>
      <c r="J52" s="147"/>
      <c r="K52" s="162"/>
      <c r="L52" s="163"/>
      <c r="M52" s="164"/>
      <c r="N52" s="165"/>
      <c r="O52" s="153"/>
      <c r="P52" s="147"/>
      <c r="Q52" s="154"/>
      <c r="R52" s="155"/>
      <c r="S52" s="156"/>
      <c r="T52" s="4"/>
      <c r="U52" s="309"/>
      <c r="V52" s="157"/>
      <c r="W52" s="4"/>
      <c r="X52" s="396"/>
      <c r="Y52" s="158"/>
      <c r="Z52" s="5"/>
    </row>
    <row r="53" spans="1:28" ht="19.5" customHeight="1" thickBot="1">
      <c r="A53" s="82"/>
      <c r="B53" s="135"/>
      <c r="C53" s="136"/>
      <c r="D53" s="136"/>
      <c r="E53" s="136"/>
      <c r="F53" s="94" t="s">
        <v>18</v>
      </c>
      <c r="G53" s="8">
        <f>G50+G51+D52+F52</f>
        <v>0</v>
      </c>
      <c r="H53" s="137"/>
      <c r="I53" s="138"/>
      <c r="J53" s="136"/>
      <c r="K53" s="139"/>
      <c r="L53" s="140"/>
      <c r="M53" s="141" t="s">
        <v>18</v>
      </c>
      <c r="N53" s="8">
        <f>N50+N51+K52+M52</f>
        <v>0</v>
      </c>
      <c r="O53" s="142"/>
      <c r="P53" s="136"/>
      <c r="Q53" s="136"/>
      <c r="R53" s="143"/>
      <c r="S53" s="144"/>
      <c r="T53" s="136"/>
      <c r="U53" s="136"/>
      <c r="V53" s="136"/>
      <c r="W53" s="136"/>
      <c r="X53" s="394"/>
      <c r="Y53" s="94" t="s">
        <v>18</v>
      </c>
      <c r="Z53" s="10">
        <f>INT(SUM(Z50:Z52))</f>
        <v>0</v>
      </c>
    </row>
    <row r="54" spans="1:28" ht="19.5" customHeight="1" thickTop="1" thickBot="1">
      <c r="A54" s="145"/>
      <c r="B54" s="96" t="s">
        <v>21</v>
      </c>
      <c r="C54" s="146">
        <f>$A$55+$A$57</f>
        <v>0</v>
      </c>
      <c r="D54" s="147"/>
      <c r="E54" s="147"/>
      <c r="F54" s="148"/>
      <c r="G54" s="149">
        <f>C54*F54</f>
        <v>0</v>
      </c>
      <c r="H54" s="128"/>
      <c r="I54" s="150">
        <v>1</v>
      </c>
      <c r="J54" s="151">
        <f>A55+A57</f>
        <v>0</v>
      </c>
      <c r="K54" s="2"/>
      <c r="L54" s="152"/>
      <c r="M54" s="15"/>
      <c r="N54" s="3"/>
      <c r="O54" s="153"/>
      <c r="P54" s="147"/>
      <c r="Q54" s="154"/>
      <c r="R54" s="155"/>
      <c r="S54" s="156"/>
      <c r="T54" s="2"/>
      <c r="U54" s="46"/>
      <c r="V54" s="30"/>
      <c r="W54" s="319"/>
      <c r="X54" s="383"/>
      <c r="Y54" s="318"/>
      <c r="Z54" s="320"/>
    </row>
    <row r="55" spans="1:28" ht="19.5" customHeight="1" thickTop="1">
      <c r="A55" s="122"/>
      <c r="B55" s="63" t="s">
        <v>24</v>
      </c>
      <c r="C55" s="146">
        <f>$A$55+$A$57</f>
        <v>0</v>
      </c>
      <c r="D55" s="147"/>
      <c r="E55" s="147"/>
      <c r="F55" s="159"/>
      <c r="G55" s="149">
        <f>C55*F55</f>
        <v>0</v>
      </c>
      <c r="H55" s="160"/>
      <c r="I55" s="161"/>
      <c r="J55" s="147"/>
      <c r="K55" s="162"/>
      <c r="L55" s="163"/>
      <c r="M55" s="164"/>
      <c r="N55" s="165"/>
      <c r="O55" s="166"/>
      <c r="P55" s="147"/>
      <c r="Q55" s="167"/>
      <c r="R55" s="168"/>
      <c r="S55" s="169"/>
      <c r="T55" s="147"/>
      <c r="U55" s="147"/>
      <c r="V55" s="147"/>
      <c r="W55" s="170"/>
      <c r="X55" s="395"/>
      <c r="Y55" s="323"/>
      <c r="Z55" s="11"/>
    </row>
    <row r="56" spans="1:28" ht="19.5" customHeight="1">
      <c r="A56" s="81" t="s">
        <v>27</v>
      </c>
      <c r="B56" s="124" t="s">
        <v>47</v>
      </c>
      <c r="C56" s="171"/>
      <c r="D56" s="172"/>
      <c r="E56" s="173"/>
      <c r="F56" s="174"/>
      <c r="G56" s="165"/>
      <c r="H56" s="160"/>
      <c r="I56" s="161"/>
      <c r="J56" s="147"/>
      <c r="K56" s="162"/>
      <c r="L56" s="163"/>
      <c r="M56" s="164"/>
      <c r="N56" s="165"/>
      <c r="O56" s="153"/>
      <c r="P56" s="147"/>
      <c r="Q56" s="154"/>
      <c r="R56" s="155"/>
      <c r="S56" s="156"/>
      <c r="T56" s="4"/>
      <c r="U56" s="309"/>
      <c r="V56" s="157"/>
      <c r="W56" s="4"/>
      <c r="X56" s="396"/>
      <c r="Y56" s="158"/>
      <c r="Z56" s="5"/>
    </row>
    <row r="57" spans="1:28" ht="19.5" customHeight="1" thickBot="1">
      <c r="A57" s="82"/>
      <c r="B57" s="135"/>
      <c r="C57" s="136"/>
      <c r="D57" s="136"/>
      <c r="E57" s="136"/>
      <c r="F57" s="94" t="s">
        <v>18</v>
      </c>
      <c r="G57" s="8">
        <f>G54+G55+D56+F56</f>
        <v>0</v>
      </c>
      <c r="H57" s="137"/>
      <c r="I57" s="138"/>
      <c r="J57" s="136"/>
      <c r="K57" s="139"/>
      <c r="L57" s="140"/>
      <c r="M57" s="141" t="s">
        <v>18</v>
      </c>
      <c r="N57" s="8">
        <f>N54+N55+K56+M56</f>
        <v>0</v>
      </c>
      <c r="O57" s="142"/>
      <c r="P57" s="136"/>
      <c r="Q57" s="136"/>
      <c r="R57" s="143"/>
      <c r="S57" s="144"/>
      <c r="T57" s="136"/>
      <c r="U57" s="136"/>
      <c r="V57" s="136"/>
      <c r="W57" s="136"/>
      <c r="X57" s="136"/>
      <c r="Y57" s="94" t="s">
        <v>18</v>
      </c>
      <c r="Z57" s="10">
        <f>INT(SUM(Z54:Z56))</f>
        <v>0</v>
      </c>
    </row>
    <row r="58" spans="1:28" s="213" customFormat="1" ht="26.25" customHeight="1" thickTop="1" thickBot="1">
      <c r="A58" s="346"/>
      <c r="B58" s="347"/>
      <c r="C58" s="347"/>
      <c r="D58" s="347"/>
      <c r="E58" s="348" t="s">
        <v>74</v>
      </c>
      <c r="F58" s="339">
        <f>G58/$D$1</f>
        <v>82.050666666666672</v>
      </c>
      <c r="G58" s="349">
        <f>G16+G24+G29+G33+G37+G41+G45+G49+G53+G57</f>
        <v>615380</v>
      </c>
      <c r="H58" s="350" t="s">
        <v>75</v>
      </c>
      <c r="I58" s="238"/>
      <c r="J58" s="238"/>
      <c r="K58" s="238"/>
      <c r="L58" s="241" t="s">
        <v>76</v>
      </c>
      <c r="M58" s="239">
        <f>N58/$D$1</f>
        <v>38.840800000000002</v>
      </c>
      <c r="N58" s="240">
        <f>N16+N24+N29+N33+N37+N41+N45+N49+N53+N57</f>
        <v>291306</v>
      </c>
      <c r="O58" s="242"/>
      <c r="P58" s="243"/>
      <c r="Q58" s="243"/>
      <c r="R58" s="243"/>
      <c r="S58" s="243"/>
      <c r="T58" s="243"/>
      <c r="U58" s="243"/>
      <c r="V58" s="243"/>
      <c r="W58" s="244" t="s">
        <v>76</v>
      </c>
      <c r="X58" s="310"/>
      <c r="Y58" s="245">
        <f>Z58/$D$1</f>
        <v>70.695599999999999</v>
      </c>
      <c r="Z58" s="240">
        <f>Z16+Z24+Z29+Z33+Z37+Z41+Z45+Z49+Z53+Z57</f>
        <v>530217</v>
      </c>
    </row>
    <row r="59" spans="1:28" s="213" customFormat="1" ht="26.25" customHeight="1" thickTop="1" thickBot="1">
      <c r="A59" s="439" t="s">
        <v>77</v>
      </c>
      <c r="B59" s="408"/>
      <c r="C59" s="408"/>
      <c r="D59" s="408"/>
      <c r="E59" s="440"/>
      <c r="F59" s="407" t="s">
        <v>167</v>
      </c>
      <c r="G59" s="408"/>
      <c r="H59" s="409"/>
      <c r="I59" s="441" t="s">
        <v>79</v>
      </c>
      <c r="J59" s="441"/>
      <c r="K59" s="441"/>
      <c r="L59" s="441"/>
      <c r="M59" s="441"/>
      <c r="N59" s="441"/>
      <c r="O59" s="441"/>
      <c r="P59" s="441"/>
      <c r="Q59" s="441"/>
      <c r="R59" s="441"/>
      <c r="S59" s="441"/>
      <c r="T59" s="441"/>
      <c r="U59" s="441"/>
      <c r="V59" s="441"/>
      <c r="W59" s="441"/>
      <c r="X59" s="441"/>
      <c r="Y59" s="441"/>
      <c r="Z59" s="442"/>
      <c r="AA59" s="246"/>
    </row>
    <row r="60" spans="1:28" s="213" customFormat="1" ht="26.25" customHeight="1" thickBot="1">
      <c r="A60" s="352" t="s">
        <v>80</v>
      </c>
      <c r="B60" s="247" t="s">
        <v>81</v>
      </c>
      <c r="C60" s="248" t="s">
        <v>82</v>
      </c>
      <c r="D60" s="249" t="s">
        <v>83</v>
      </c>
      <c r="E60" s="250" t="s">
        <v>84</v>
      </c>
      <c r="F60" s="340" t="s">
        <v>164</v>
      </c>
      <c r="G60" s="341" t="s">
        <v>165</v>
      </c>
      <c r="H60" s="353" t="s">
        <v>166</v>
      </c>
      <c r="I60" s="443"/>
      <c r="J60" s="443"/>
      <c r="K60" s="443"/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4"/>
      <c r="AA60" s="253"/>
      <c r="AB60" s="254"/>
    </row>
    <row r="61" spans="1:28" s="213" customFormat="1" ht="26.25" customHeight="1" thickBot="1">
      <c r="A61" s="354" t="s">
        <v>86</v>
      </c>
      <c r="B61" s="255">
        <f>ROUNDUP(X3/16,0)</f>
        <v>22</v>
      </c>
      <c r="C61" s="256">
        <v>0.9</v>
      </c>
      <c r="D61" s="233">
        <f>ROUND(B61*C61,2)</f>
        <v>19.8</v>
      </c>
      <c r="E61" s="257">
        <f t="shared" ref="E61:E74" si="0">ROUND(D61*$D$1,2)</f>
        <v>148500</v>
      </c>
      <c r="F61" s="342">
        <v>0.1</v>
      </c>
      <c r="G61" s="266"/>
      <c r="H61" s="355">
        <f>IF(G61="",F61*D1*J1,IF(G61&gt;D1,F61*D1*J1,F61*G61*J1))</f>
        <v>1350000</v>
      </c>
      <c r="I61" s="445"/>
      <c r="J61" s="445"/>
      <c r="K61" s="445"/>
      <c r="L61" s="445"/>
      <c r="M61" s="445"/>
      <c r="N61" s="445"/>
      <c r="O61" s="445"/>
      <c r="P61" s="445"/>
      <c r="Q61" s="445"/>
      <c r="R61" s="445"/>
      <c r="S61" s="445"/>
      <c r="T61" s="445"/>
      <c r="U61" s="445"/>
      <c r="V61" s="445"/>
      <c r="W61" s="445"/>
      <c r="X61" s="445"/>
      <c r="Y61" s="445"/>
      <c r="Z61" s="446"/>
      <c r="AA61" s="253"/>
      <c r="AB61" s="254"/>
    </row>
    <row r="62" spans="1:28" s="213" customFormat="1" ht="26.25" customHeight="1">
      <c r="A62" s="356" t="s">
        <v>87</v>
      </c>
      <c r="B62" s="259">
        <f>IF(OR($U$3=2,$U$3=4,$U$3=8),1,ROUNDUP($U$3/16,0))</f>
        <v>0</v>
      </c>
      <c r="C62" s="260">
        <v>1</v>
      </c>
      <c r="D62" s="233">
        <f>ROUND(B62*C62,2)</f>
        <v>0</v>
      </c>
      <c r="E62" s="257">
        <f t="shared" si="0"/>
        <v>0</v>
      </c>
      <c r="F62" s="342">
        <v>0</v>
      </c>
      <c r="G62" s="266"/>
      <c r="H62" s="355">
        <f>IF(G62="",F62*($D$1-G61)*$J$1,IF(G61&gt;$D$1,F62*($D$1-G61)*$J$1,F62*(G62-G61)*$J$1))</f>
        <v>0</v>
      </c>
      <c r="I62" s="337" t="s">
        <v>89</v>
      </c>
      <c r="J62" s="503" t="s">
        <v>90</v>
      </c>
      <c r="K62" s="503" t="s">
        <v>91</v>
      </c>
      <c r="L62" s="503" t="s">
        <v>92</v>
      </c>
      <c r="M62" s="503" t="s">
        <v>93</v>
      </c>
      <c r="N62" s="505" t="s">
        <v>94</v>
      </c>
      <c r="O62" s="505" t="s">
        <v>95</v>
      </c>
      <c r="P62" s="503" t="s">
        <v>96</v>
      </c>
      <c r="Q62" s="513" t="s">
        <v>160</v>
      </c>
      <c r="R62" s="503" t="s">
        <v>98</v>
      </c>
      <c r="S62" s="503" t="s">
        <v>99</v>
      </c>
      <c r="T62" s="505" t="s">
        <v>100</v>
      </c>
      <c r="U62" s="413" t="s">
        <v>101</v>
      </c>
      <c r="V62" s="413"/>
      <c r="W62" s="503" t="s">
        <v>102</v>
      </c>
      <c r="X62" s="413" t="s">
        <v>103</v>
      </c>
      <c r="Y62" s="413"/>
      <c r="Z62" s="509" t="s">
        <v>104</v>
      </c>
      <c r="AA62" s="253"/>
      <c r="AB62" s="254"/>
    </row>
    <row r="63" spans="1:28" s="213" customFormat="1" ht="26.25" customHeight="1">
      <c r="A63" s="356" t="s">
        <v>105</v>
      </c>
      <c r="B63" s="261"/>
      <c r="C63" s="262"/>
      <c r="D63" s="236">
        <v>0</v>
      </c>
      <c r="E63" s="235">
        <f t="shared" si="0"/>
        <v>0</v>
      </c>
      <c r="F63" s="342">
        <v>0</v>
      </c>
      <c r="G63" s="266"/>
      <c r="H63" s="355">
        <f>IF(G63="",F63*($D$1-G62)*$J$1,IF(G62&gt;$D$1,F63*($D$1-G62)*$J$1,F63*(G63-G62)*$J$1))</f>
        <v>0</v>
      </c>
      <c r="I63" s="344" t="s">
        <v>106</v>
      </c>
      <c r="J63" s="504"/>
      <c r="K63" s="504"/>
      <c r="L63" s="504"/>
      <c r="M63" s="504"/>
      <c r="N63" s="506"/>
      <c r="O63" s="506"/>
      <c r="P63" s="504"/>
      <c r="Q63" s="504"/>
      <c r="R63" s="504"/>
      <c r="S63" s="504"/>
      <c r="T63" s="506"/>
      <c r="U63" s="414"/>
      <c r="V63" s="414"/>
      <c r="W63" s="504"/>
      <c r="X63" s="414"/>
      <c r="Y63" s="414"/>
      <c r="Z63" s="510"/>
      <c r="AA63" s="253"/>
      <c r="AB63" s="254"/>
    </row>
    <row r="64" spans="1:28" s="213" customFormat="1" ht="26.25" customHeight="1" thickBot="1">
      <c r="A64" s="356" t="s">
        <v>107</v>
      </c>
      <c r="B64" s="261"/>
      <c r="C64" s="262"/>
      <c r="D64" s="236">
        <v>1.8</v>
      </c>
      <c r="E64" s="235">
        <f t="shared" si="0"/>
        <v>13500</v>
      </c>
      <c r="F64" s="342">
        <v>0</v>
      </c>
      <c r="G64" s="266"/>
      <c r="H64" s="355">
        <f>IF(G64="",F64*($D$1-G63)*$J$1,IF(G63&gt;$D$1,F64*($D$1-G63)*$J$1,F64*(G64-G63)*$J$1))</f>
        <v>0</v>
      </c>
      <c r="I64" s="267"/>
      <c r="J64" s="267"/>
      <c r="K64" s="267"/>
      <c r="L64" s="437">
        <v>1</v>
      </c>
      <c r="M64" s="437">
        <f>$G$2</f>
        <v>0.7</v>
      </c>
      <c r="N64" s="511">
        <f>$G$2</f>
        <v>0.7</v>
      </c>
      <c r="O64" s="511">
        <f t="shared" ref="O64:Z64" si="1">O68/$L$68</f>
        <v>0</v>
      </c>
      <c r="P64" s="437">
        <f t="shared" si="1"/>
        <v>5.6920772946859904E-2</v>
      </c>
      <c r="Q64" s="437">
        <f t="shared" si="1"/>
        <v>0.11874782608695653</v>
      </c>
      <c r="R64" s="437">
        <f t="shared" si="1"/>
        <v>0.20933977455716588</v>
      </c>
      <c r="S64" s="433">
        <f t="shared" si="1"/>
        <v>0.38500837359098228</v>
      </c>
      <c r="T64" s="435">
        <f t="shared" si="1"/>
        <v>0.31499162640901773</v>
      </c>
      <c r="U64" s="425">
        <f>U68/$L$68</f>
        <v>0.27050134192163178</v>
      </c>
      <c r="V64" s="425"/>
      <c r="W64" s="437">
        <f t="shared" si="1"/>
        <v>0.23081052066559313</v>
      </c>
      <c r="X64" s="415">
        <f>X68/$L$68</f>
        <v>0.50131186258722493</v>
      </c>
      <c r="Y64" s="415"/>
      <c r="Z64" s="507">
        <f t="shared" si="1"/>
        <v>-0.1863202361782072</v>
      </c>
      <c r="AA64" s="253"/>
      <c r="AB64" s="254"/>
    </row>
    <row r="65" spans="1:28" s="213" customFormat="1" ht="26.25" customHeight="1" thickTop="1" thickBot="1">
      <c r="A65" s="356" t="s">
        <v>109</v>
      </c>
      <c r="B65" s="261"/>
      <c r="C65" s="262"/>
      <c r="D65" s="236"/>
      <c r="E65" s="235">
        <f t="shared" si="0"/>
        <v>0</v>
      </c>
      <c r="F65" s="447" t="s">
        <v>88</v>
      </c>
      <c r="G65" s="448"/>
      <c r="H65" s="449"/>
      <c r="I65" s="268"/>
      <c r="J65" s="268"/>
      <c r="K65" s="268"/>
      <c r="L65" s="438"/>
      <c r="M65" s="438"/>
      <c r="N65" s="512"/>
      <c r="O65" s="512"/>
      <c r="P65" s="438"/>
      <c r="Q65" s="438"/>
      <c r="R65" s="438"/>
      <c r="S65" s="434"/>
      <c r="T65" s="436"/>
      <c r="U65" s="426"/>
      <c r="V65" s="426"/>
      <c r="W65" s="438"/>
      <c r="X65" s="416"/>
      <c r="Y65" s="416"/>
      <c r="Z65" s="508"/>
      <c r="AA65" s="253"/>
      <c r="AB65" s="254"/>
    </row>
    <row r="66" spans="1:28" s="213" customFormat="1" ht="26.25" customHeight="1">
      <c r="A66" s="356" t="s">
        <v>111</v>
      </c>
      <c r="B66" s="261"/>
      <c r="C66" s="262"/>
      <c r="D66" s="236">
        <v>1.1000000000000001</v>
      </c>
      <c r="E66" s="235">
        <f t="shared" si="0"/>
        <v>8250</v>
      </c>
      <c r="F66" s="340" t="s">
        <v>168</v>
      </c>
      <c r="G66" s="264"/>
      <c r="H66" s="357">
        <f>SUM(H61:H64)</f>
        <v>1350000</v>
      </c>
      <c r="I66" s="431"/>
      <c r="J66" s="431"/>
      <c r="K66" s="431">
        <f>K68/$K$68</f>
        <v>1</v>
      </c>
      <c r="L66" s="431">
        <f>L68/$K$68</f>
        <v>1242</v>
      </c>
      <c r="M66" s="498">
        <f>M68/$K$68</f>
        <v>0.7</v>
      </c>
      <c r="N66" s="494">
        <f>N68/$K$68</f>
        <v>869.4</v>
      </c>
      <c r="O66" s="494">
        <f>O68/$K$68</f>
        <v>0</v>
      </c>
      <c r="P66" s="431">
        <f t="shared" ref="P66:Z66" si="2">P68/$K$68</f>
        <v>70.695599999999999</v>
      </c>
      <c r="Q66" s="431">
        <f t="shared" si="2"/>
        <v>147.48480000000001</v>
      </c>
      <c r="R66" s="431">
        <f t="shared" si="2"/>
        <v>260</v>
      </c>
      <c r="S66" s="496">
        <f t="shared" si="2"/>
        <v>478.18040000000002</v>
      </c>
      <c r="T66" s="494">
        <f t="shared" si="2"/>
        <v>391.21960000000001</v>
      </c>
      <c r="U66" s="427">
        <f>U68/$K$68</f>
        <v>335.96266666666668</v>
      </c>
      <c r="V66" s="427"/>
      <c r="W66" s="431">
        <f t="shared" si="2"/>
        <v>286.66666666666669</v>
      </c>
      <c r="X66" s="417">
        <f>X68/$K$68</f>
        <v>622.62933333333331</v>
      </c>
      <c r="Y66" s="417"/>
      <c r="Z66" s="490">
        <f t="shared" si="2"/>
        <v>-231.40973333333332</v>
      </c>
      <c r="AA66" s="253"/>
      <c r="AB66" s="254"/>
    </row>
    <row r="67" spans="1:28" s="213" customFormat="1" ht="26.25" customHeight="1">
      <c r="A67" s="356" t="s">
        <v>113</v>
      </c>
      <c r="B67" s="261"/>
      <c r="C67" s="262"/>
      <c r="D67" s="236">
        <v>1.1000000000000001</v>
      </c>
      <c r="E67" s="235">
        <f t="shared" si="0"/>
        <v>8250</v>
      </c>
      <c r="F67" s="265" t="s">
        <v>108</v>
      </c>
      <c r="G67" s="266">
        <v>380000</v>
      </c>
      <c r="H67" s="355">
        <f>G67</f>
        <v>380000</v>
      </c>
      <c r="I67" s="432"/>
      <c r="J67" s="432"/>
      <c r="K67" s="432"/>
      <c r="L67" s="432"/>
      <c r="M67" s="499"/>
      <c r="N67" s="495"/>
      <c r="O67" s="495"/>
      <c r="P67" s="432"/>
      <c r="Q67" s="432"/>
      <c r="R67" s="432"/>
      <c r="S67" s="497"/>
      <c r="T67" s="495"/>
      <c r="U67" s="428"/>
      <c r="V67" s="428"/>
      <c r="W67" s="432"/>
      <c r="X67" s="418"/>
      <c r="Y67" s="418"/>
      <c r="Z67" s="491"/>
      <c r="AA67" s="253"/>
      <c r="AB67" s="254"/>
    </row>
    <row r="68" spans="1:28" s="213" customFormat="1" ht="26.25" customHeight="1">
      <c r="A68" s="356" t="s">
        <v>114</v>
      </c>
      <c r="B68" s="261"/>
      <c r="C68" s="262"/>
      <c r="D68" s="236"/>
      <c r="E68" s="235">
        <f t="shared" si="0"/>
        <v>0</v>
      </c>
      <c r="F68" s="265" t="s">
        <v>110</v>
      </c>
      <c r="G68" s="266">
        <v>220000</v>
      </c>
      <c r="H68" s="358">
        <f>G68</f>
        <v>220000</v>
      </c>
      <c r="I68" s="345">
        <f>-I69*1.1</f>
        <v>-1980.0000000000002</v>
      </c>
      <c r="J68" s="429">
        <f>I69*$G$1</f>
        <v>1242</v>
      </c>
      <c r="K68" s="429">
        <f>$D$1</f>
        <v>7500</v>
      </c>
      <c r="L68" s="429">
        <f>J68*K68</f>
        <v>9315000</v>
      </c>
      <c r="M68" s="429">
        <f>K68*M64</f>
        <v>5250</v>
      </c>
      <c r="N68" s="492">
        <f>L68*N64</f>
        <v>6520500</v>
      </c>
      <c r="O68" s="492">
        <f>$J$2</f>
        <v>0</v>
      </c>
      <c r="P68" s="429">
        <f>Z58</f>
        <v>530217</v>
      </c>
      <c r="Q68" s="429">
        <f>G58+N58+E77+E80</f>
        <v>1106136</v>
      </c>
      <c r="R68" s="429">
        <f>H70</f>
        <v>1950000</v>
      </c>
      <c r="S68" s="429">
        <f>P68+Q68+R68</f>
        <v>3586353</v>
      </c>
      <c r="T68" s="487">
        <f>N68+O68-S68</f>
        <v>2934147</v>
      </c>
      <c r="U68" s="419">
        <f>H76</f>
        <v>2519720</v>
      </c>
      <c r="V68" s="419"/>
      <c r="W68" s="429">
        <f>H80</f>
        <v>2150000</v>
      </c>
      <c r="X68" s="419">
        <f>U68+W68</f>
        <v>4669720</v>
      </c>
      <c r="Y68" s="419"/>
      <c r="Z68" s="500">
        <f>T68-X68</f>
        <v>-1735573</v>
      </c>
      <c r="AA68" s="253"/>
      <c r="AB68" s="254"/>
    </row>
    <row r="69" spans="1:28" s="213" customFormat="1" ht="26.25" customHeight="1" thickBot="1">
      <c r="A69" s="356" t="s">
        <v>116</v>
      </c>
      <c r="B69" s="261"/>
      <c r="C69" s="262"/>
      <c r="D69" s="236">
        <v>2.5</v>
      </c>
      <c r="E69" s="235">
        <f t="shared" si="0"/>
        <v>18750</v>
      </c>
      <c r="F69" s="269" t="s">
        <v>112</v>
      </c>
      <c r="G69" s="270"/>
      <c r="H69" s="359">
        <f>G69</f>
        <v>0</v>
      </c>
      <c r="I69" s="338">
        <f>$J$1</f>
        <v>1800</v>
      </c>
      <c r="J69" s="430"/>
      <c r="K69" s="430"/>
      <c r="L69" s="430"/>
      <c r="M69" s="430"/>
      <c r="N69" s="493"/>
      <c r="O69" s="493"/>
      <c r="P69" s="430"/>
      <c r="Q69" s="430"/>
      <c r="R69" s="430"/>
      <c r="S69" s="430"/>
      <c r="T69" s="453"/>
      <c r="U69" s="420"/>
      <c r="V69" s="420"/>
      <c r="W69" s="430"/>
      <c r="X69" s="420"/>
      <c r="Y69" s="420"/>
      <c r="Z69" s="455"/>
      <c r="AA69" s="253"/>
      <c r="AB69" s="254"/>
    </row>
    <row r="70" spans="1:28" s="213" customFormat="1" ht="26.25" customHeight="1" thickTop="1" thickBot="1">
      <c r="A70" s="356" t="s">
        <v>118</v>
      </c>
      <c r="B70" s="261"/>
      <c r="C70" s="262"/>
      <c r="D70" s="236">
        <v>0</v>
      </c>
      <c r="E70" s="235">
        <f t="shared" si="0"/>
        <v>0</v>
      </c>
      <c r="F70" s="258" t="s">
        <v>74</v>
      </c>
      <c r="G70" s="271">
        <f>H70/$D$1</f>
        <v>260</v>
      </c>
      <c r="H70" s="360">
        <f>SUM(H66:H69)</f>
        <v>1950000</v>
      </c>
      <c r="I70" s="441" t="s">
        <v>120</v>
      </c>
      <c r="J70" s="441"/>
      <c r="K70" s="441"/>
      <c r="L70" s="441"/>
      <c r="M70" s="441"/>
      <c r="N70" s="441"/>
      <c r="O70" s="441"/>
      <c r="P70" s="442"/>
      <c r="Q70" s="501" t="s">
        <v>121</v>
      </c>
      <c r="R70" s="441"/>
      <c r="S70" s="441"/>
      <c r="T70" s="441"/>
      <c r="U70" s="441"/>
      <c r="V70" s="441"/>
      <c r="W70" s="441"/>
      <c r="X70" s="441"/>
      <c r="Y70" s="441"/>
      <c r="Z70" s="442"/>
      <c r="AA70" s="253"/>
      <c r="AB70" s="254"/>
    </row>
    <row r="71" spans="1:28" s="213" customFormat="1" ht="26.25" customHeight="1" thickTop="1" thickBot="1">
      <c r="A71" s="356" t="s">
        <v>122</v>
      </c>
      <c r="B71" s="261"/>
      <c r="C71" s="262"/>
      <c r="D71" s="236"/>
      <c r="E71" s="235">
        <f t="shared" si="0"/>
        <v>0</v>
      </c>
      <c r="F71" s="447" t="s">
        <v>115</v>
      </c>
      <c r="G71" s="448"/>
      <c r="H71" s="449"/>
      <c r="I71" s="445"/>
      <c r="J71" s="445"/>
      <c r="K71" s="445"/>
      <c r="L71" s="445"/>
      <c r="M71" s="445"/>
      <c r="N71" s="445"/>
      <c r="O71" s="445"/>
      <c r="P71" s="446"/>
      <c r="Q71" s="502"/>
      <c r="R71" s="445"/>
      <c r="S71" s="445"/>
      <c r="T71" s="445"/>
      <c r="U71" s="445"/>
      <c r="V71" s="445"/>
      <c r="W71" s="445"/>
      <c r="X71" s="445"/>
      <c r="Y71" s="445"/>
      <c r="Z71" s="446"/>
      <c r="AA71" s="253"/>
      <c r="AB71" s="254"/>
    </row>
    <row r="72" spans="1:28" s="213" customFormat="1" ht="26.25" customHeight="1">
      <c r="A72" s="361" t="s">
        <v>124</v>
      </c>
      <c r="B72" s="261"/>
      <c r="C72" s="262"/>
      <c r="D72" s="234"/>
      <c r="E72" s="235">
        <f t="shared" si="0"/>
        <v>0</v>
      </c>
      <c r="F72" s="272" t="s">
        <v>117</v>
      </c>
      <c r="G72" s="273">
        <v>900000</v>
      </c>
      <c r="H72" s="362">
        <f>G72</f>
        <v>900000</v>
      </c>
      <c r="I72" s="480" t="s">
        <v>126</v>
      </c>
      <c r="J72" s="481"/>
      <c r="K72" s="483" t="s">
        <v>127</v>
      </c>
      <c r="L72" s="485">
        <f>$G$2</f>
        <v>0.7</v>
      </c>
      <c r="M72" s="483" t="s">
        <v>128</v>
      </c>
      <c r="N72" s="483">
        <f>M68</f>
        <v>5250</v>
      </c>
      <c r="O72" s="483" t="s">
        <v>129</v>
      </c>
      <c r="P72" s="478">
        <f>N68</f>
        <v>6520500</v>
      </c>
      <c r="Q72" s="488" t="s">
        <v>126</v>
      </c>
      <c r="R72" s="481"/>
      <c r="S72" s="483" t="s">
        <v>127</v>
      </c>
      <c r="T72" s="485">
        <f>$G$2</f>
        <v>0.7</v>
      </c>
      <c r="U72" s="421" t="s">
        <v>128</v>
      </c>
      <c r="V72" s="421"/>
      <c r="W72" s="483">
        <f>M68</f>
        <v>5250</v>
      </c>
      <c r="X72" s="421" t="s">
        <v>129</v>
      </c>
      <c r="Y72" s="421"/>
      <c r="Z72" s="478">
        <f>N68</f>
        <v>6520500</v>
      </c>
      <c r="AA72" s="253"/>
      <c r="AB72" s="254"/>
    </row>
    <row r="73" spans="1:28" s="213" customFormat="1" ht="26.25" customHeight="1">
      <c r="A73" s="361"/>
      <c r="B73" s="261"/>
      <c r="C73" s="262"/>
      <c r="D73" s="236"/>
      <c r="E73" s="235">
        <f t="shared" si="0"/>
        <v>0</v>
      </c>
      <c r="F73" s="265" t="s">
        <v>119</v>
      </c>
      <c r="G73" s="274">
        <v>300000</v>
      </c>
      <c r="H73" s="363">
        <f>G73</f>
        <v>300000</v>
      </c>
      <c r="I73" s="482"/>
      <c r="J73" s="482"/>
      <c r="K73" s="484"/>
      <c r="L73" s="486"/>
      <c r="M73" s="484"/>
      <c r="N73" s="484"/>
      <c r="O73" s="484"/>
      <c r="P73" s="479"/>
      <c r="Q73" s="489"/>
      <c r="R73" s="482"/>
      <c r="S73" s="484"/>
      <c r="T73" s="486"/>
      <c r="U73" s="422"/>
      <c r="V73" s="422"/>
      <c r="W73" s="484"/>
      <c r="X73" s="422"/>
      <c r="Y73" s="422"/>
      <c r="Z73" s="479"/>
      <c r="AA73" s="253"/>
      <c r="AB73" s="254"/>
    </row>
    <row r="74" spans="1:28" s="213" customFormat="1" ht="26.25" customHeight="1">
      <c r="A74" s="364" t="s">
        <v>130</v>
      </c>
      <c r="B74" s="277">
        <v>0</v>
      </c>
      <c r="C74" s="278" t="s">
        <v>131</v>
      </c>
      <c r="D74" s="256">
        <f>ROUND((D61+D62+D63+D64+D65+D66+D67+D68+D69+D70+D71+D72+D73)*$B$74*1/100,2)</f>
        <v>0</v>
      </c>
      <c r="E74" s="279">
        <f t="shared" si="0"/>
        <v>0</v>
      </c>
      <c r="F74" s="265" t="s">
        <v>123</v>
      </c>
      <c r="G74" s="275">
        <v>500000</v>
      </c>
      <c r="H74" s="363">
        <f>G74</f>
        <v>500000</v>
      </c>
      <c r="I74" s="471" t="s">
        <v>133</v>
      </c>
      <c r="J74" s="471"/>
      <c r="K74" s="474" t="s">
        <v>127</v>
      </c>
      <c r="L74" s="476">
        <f>((S68+X68)-O68)/L68</f>
        <v>0.88632023617820721</v>
      </c>
      <c r="M74" s="474" t="s">
        <v>128</v>
      </c>
      <c r="N74" s="474">
        <f>K68*L74</f>
        <v>6647.4017713365538</v>
      </c>
      <c r="O74" s="474" t="s">
        <v>129</v>
      </c>
      <c r="P74" s="460">
        <f>L74*L68</f>
        <v>8256073</v>
      </c>
      <c r="Q74" s="470" t="s">
        <v>134</v>
      </c>
      <c r="R74" s="471"/>
      <c r="S74" s="474" t="s">
        <v>127</v>
      </c>
      <c r="T74" s="476">
        <f>(S68-O68)/L68</f>
        <v>0.38500837359098228</v>
      </c>
      <c r="U74" s="423" t="s">
        <v>128</v>
      </c>
      <c r="V74" s="423"/>
      <c r="W74" s="474">
        <f>K68*T74</f>
        <v>2887.5628019323672</v>
      </c>
      <c r="X74" s="423" t="s">
        <v>129</v>
      </c>
      <c r="Y74" s="423"/>
      <c r="Z74" s="460">
        <f>W74*J68</f>
        <v>3586353</v>
      </c>
      <c r="AA74" s="253"/>
      <c r="AB74" s="254"/>
    </row>
    <row r="75" spans="1:28" s="213" customFormat="1" ht="26.25" customHeight="1" thickBot="1">
      <c r="A75" s="354" t="s">
        <v>135</v>
      </c>
      <c r="B75" s="280"/>
      <c r="C75" s="237"/>
      <c r="D75" s="233">
        <f>SUM(D61:D74)</f>
        <v>26.300000000000004</v>
      </c>
      <c r="E75" s="281">
        <f>IF(SUM(E61:E74)&gt;42000,SUM(E61:E74),42000)</f>
        <v>197250</v>
      </c>
      <c r="F75" s="269" t="s">
        <v>125</v>
      </c>
      <c r="G75" s="276">
        <v>8.7999999999999995E-2</v>
      </c>
      <c r="H75" s="359">
        <f>N68*G75*100%/$G$2</f>
        <v>819720</v>
      </c>
      <c r="I75" s="473"/>
      <c r="J75" s="473"/>
      <c r="K75" s="475"/>
      <c r="L75" s="477"/>
      <c r="M75" s="475"/>
      <c r="N75" s="475"/>
      <c r="O75" s="475"/>
      <c r="P75" s="461"/>
      <c r="Q75" s="472"/>
      <c r="R75" s="473"/>
      <c r="S75" s="475"/>
      <c r="T75" s="477"/>
      <c r="U75" s="424"/>
      <c r="V75" s="424"/>
      <c r="W75" s="475"/>
      <c r="X75" s="424"/>
      <c r="Y75" s="424"/>
      <c r="Z75" s="461"/>
      <c r="AA75" s="282"/>
      <c r="AB75" s="254"/>
    </row>
    <row r="76" spans="1:28" s="213" customFormat="1" ht="26.25" customHeight="1" thickBot="1">
      <c r="A76" s="365" t="s">
        <v>149</v>
      </c>
      <c r="B76" s="283"/>
      <c r="C76" s="284"/>
      <c r="D76" s="285">
        <v>1.1000000000000001</v>
      </c>
      <c r="E76" s="286">
        <f>$M$1*D76</f>
        <v>2200</v>
      </c>
      <c r="F76" s="258" t="s">
        <v>74</v>
      </c>
      <c r="G76" s="271">
        <f>H76/$D$1</f>
        <v>335.96266666666668</v>
      </c>
      <c r="H76" s="360">
        <f>SUM(H72:H75)</f>
        <v>2519720</v>
      </c>
      <c r="I76" s="462" t="s">
        <v>133</v>
      </c>
      <c r="J76" s="462"/>
      <c r="K76" s="464" t="str">
        <f>IF(L72&gt;L74,"超過売上率","未達売上率")</f>
        <v>未達売上率</v>
      </c>
      <c r="L76" s="450">
        <f>L72-L74</f>
        <v>-0.18632023617820725</v>
      </c>
      <c r="M76" s="464" t="str">
        <f>IF(N72&gt;N74,"超過売上数","未達売上数")</f>
        <v>未達売上数</v>
      </c>
      <c r="N76" s="452">
        <f>N72-N74</f>
        <v>-1397.4017713365538</v>
      </c>
      <c r="O76" s="466" t="str">
        <f>IF(P72&gt;P74,"超過売上高　(営業利益)","未達売上高　(営業利益)")</f>
        <v>未達売上高　(営業利益)</v>
      </c>
      <c r="P76" s="454">
        <f>P72-P74</f>
        <v>-1735573</v>
      </c>
      <c r="Q76" s="468" t="s">
        <v>134</v>
      </c>
      <c r="R76" s="462"/>
      <c r="S76" s="464" t="str">
        <f>IF(T72&gt;T74,"超過売上率","未達売上率")</f>
        <v>超過売上率</v>
      </c>
      <c r="T76" s="450">
        <f>T72-T74</f>
        <v>0.31499162640901768</v>
      </c>
      <c r="U76" s="456" t="str">
        <f>IF(W72&gt;W74,"超過売上数","未達売上数")</f>
        <v>超過売上数</v>
      </c>
      <c r="V76" s="456"/>
      <c r="W76" s="452">
        <f>W72-W74</f>
        <v>2362.4371980676328</v>
      </c>
      <c r="X76" s="458" t="str">
        <f>IF(Z72&gt;Z74,"超過売上高　(限界利益)","未達売上高　(限界利益)")</f>
        <v>超過売上高　(限界利益)</v>
      </c>
      <c r="Y76" s="458"/>
      <c r="Z76" s="454">
        <f>Z72-Z74</f>
        <v>2934147</v>
      </c>
      <c r="AA76" s="254"/>
      <c r="AB76" s="254"/>
    </row>
    <row r="77" spans="1:28" s="213" customFormat="1" ht="26.25" customHeight="1" thickTop="1" thickBot="1">
      <c r="A77" s="366" t="s">
        <v>74</v>
      </c>
      <c r="B77" s="289"/>
      <c r="C77" s="290"/>
      <c r="D77" s="291">
        <f>D75+D76</f>
        <v>27.400000000000006</v>
      </c>
      <c r="E77" s="292">
        <f>E75+E76</f>
        <v>199450</v>
      </c>
      <c r="F77" s="447" t="s">
        <v>132</v>
      </c>
      <c r="G77" s="448"/>
      <c r="H77" s="449"/>
      <c r="I77" s="463"/>
      <c r="J77" s="463"/>
      <c r="K77" s="465"/>
      <c r="L77" s="451"/>
      <c r="M77" s="465"/>
      <c r="N77" s="453"/>
      <c r="O77" s="467"/>
      <c r="P77" s="455"/>
      <c r="Q77" s="469"/>
      <c r="R77" s="463"/>
      <c r="S77" s="465"/>
      <c r="T77" s="451"/>
      <c r="U77" s="457"/>
      <c r="V77" s="457"/>
      <c r="W77" s="453"/>
      <c r="X77" s="459"/>
      <c r="Y77" s="459"/>
      <c r="Z77" s="455"/>
    </row>
    <row r="78" spans="1:28" s="213" customFormat="1" ht="26.25" customHeight="1" thickTop="1">
      <c r="A78" s="404" t="s">
        <v>78</v>
      </c>
      <c r="B78" s="405"/>
      <c r="C78" s="405"/>
      <c r="D78" s="405"/>
      <c r="E78" s="406"/>
      <c r="F78" s="263" t="s">
        <v>136</v>
      </c>
      <c r="G78" s="274">
        <v>1000000</v>
      </c>
      <c r="H78" s="363">
        <f>G78</f>
        <v>1000000</v>
      </c>
      <c r="I78" s="332"/>
      <c r="J78" s="330"/>
      <c r="K78" s="332"/>
      <c r="L78" s="329"/>
      <c r="M78" s="329"/>
      <c r="N78" s="330"/>
      <c r="O78" s="331"/>
      <c r="P78" s="331"/>
      <c r="Q78" s="330"/>
      <c r="R78" s="332"/>
      <c r="S78" s="332"/>
      <c r="T78" s="330"/>
      <c r="U78" s="332"/>
    </row>
    <row r="79" spans="1:28" s="333" customFormat="1" ht="33.75" thickBot="1">
      <c r="A79" s="367" t="s">
        <v>85</v>
      </c>
      <c r="B79" s="343"/>
      <c r="C79" s="343"/>
      <c r="D79" s="251">
        <v>0</v>
      </c>
      <c r="E79" s="252">
        <f>D79*$D$1</f>
        <v>0</v>
      </c>
      <c r="F79" s="287" t="s">
        <v>137</v>
      </c>
      <c r="G79" s="288">
        <v>1150000</v>
      </c>
      <c r="H79" s="359">
        <f>G79</f>
        <v>1150000</v>
      </c>
    </row>
    <row r="80" spans="1:28" s="213" customFormat="1" ht="30.75" thickBot="1">
      <c r="A80" s="368" t="s">
        <v>74</v>
      </c>
      <c r="B80" s="369"/>
      <c r="C80" s="369"/>
      <c r="D80" s="370">
        <f>E80/$D$1</f>
        <v>0</v>
      </c>
      <c r="E80" s="371">
        <f>SUM(E79)</f>
        <v>0</v>
      </c>
      <c r="F80" s="372" t="s">
        <v>74</v>
      </c>
      <c r="G80" s="373">
        <f>H80/$D$1</f>
        <v>286.66666666666669</v>
      </c>
      <c r="H80" s="374">
        <f>SUM(H78:H79)</f>
        <v>2150000</v>
      </c>
    </row>
    <row r="81" spans="6:8" s="213" customFormat="1" ht="20.25">
      <c r="H81" s="351"/>
    </row>
    <row r="82" spans="6:8" ht="14.25">
      <c r="F82" s="333"/>
      <c r="G82" s="333"/>
      <c r="H82" s="333"/>
    </row>
    <row r="83" spans="6:8" ht="14.25">
      <c r="F83" s="213"/>
      <c r="G83" s="213"/>
      <c r="H83" s="213"/>
    </row>
    <row r="84" spans="6:8" ht="14.25">
      <c r="F84" s="213"/>
      <c r="G84" s="213"/>
      <c r="H84" s="213"/>
    </row>
  </sheetData>
  <mergeCells count="113">
    <mergeCell ref="J62:J63"/>
    <mergeCell ref="K62:K63"/>
    <mergeCell ref="L62:L63"/>
    <mergeCell ref="M62:M63"/>
    <mergeCell ref="N62:N63"/>
    <mergeCell ref="O62:O63"/>
    <mergeCell ref="Z64:Z65"/>
    <mergeCell ref="W62:W63"/>
    <mergeCell ref="Z62:Z63"/>
    <mergeCell ref="L64:L65"/>
    <mergeCell ref="M64:M65"/>
    <mergeCell ref="N64:N65"/>
    <mergeCell ref="O64:O65"/>
    <mergeCell ref="P64:P65"/>
    <mergeCell ref="Q64:Q65"/>
    <mergeCell ref="R64:R65"/>
    <mergeCell ref="P62:P63"/>
    <mergeCell ref="Q62:Q63"/>
    <mergeCell ref="R62:R63"/>
    <mergeCell ref="S62:S63"/>
    <mergeCell ref="T62:T63"/>
    <mergeCell ref="Z66:Z67"/>
    <mergeCell ref="F71:H71"/>
    <mergeCell ref="J68:J69"/>
    <mergeCell ref="K68:K69"/>
    <mergeCell ref="L68:L69"/>
    <mergeCell ref="M68:M69"/>
    <mergeCell ref="N68:N69"/>
    <mergeCell ref="O66:O67"/>
    <mergeCell ref="P66:P67"/>
    <mergeCell ref="Q66:Q67"/>
    <mergeCell ref="R66:R67"/>
    <mergeCell ref="S66:S67"/>
    <mergeCell ref="T66:T67"/>
    <mergeCell ref="I66:I67"/>
    <mergeCell ref="J66:J67"/>
    <mergeCell ref="K66:K67"/>
    <mergeCell ref="L66:L67"/>
    <mergeCell ref="M66:M67"/>
    <mergeCell ref="N66:N67"/>
    <mergeCell ref="Z68:Z69"/>
    <mergeCell ref="I70:P71"/>
    <mergeCell ref="Q70:Z71"/>
    <mergeCell ref="O68:O69"/>
    <mergeCell ref="P68:P69"/>
    <mergeCell ref="Q68:Q69"/>
    <mergeCell ref="R68:R69"/>
    <mergeCell ref="S68:S69"/>
    <mergeCell ref="T68:T69"/>
    <mergeCell ref="Z72:Z73"/>
    <mergeCell ref="Q72:R73"/>
    <mergeCell ref="S72:S73"/>
    <mergeCell ref="T72:T73"/>
    <mergeCell ref="W72:W73"/>
    <mergeCell ref="M74:M75"/>
    <mergeCell ref="N74:N75"/>
    <mergeCell ref="O74:O75"/>
    <mergeCell ref="P74:P75"/>
    <mergeCell ref="P72:P73"/>
    <mergeCell ref="I72:J73"/>
    <mergeCell ref="K72:K73"/>
    <mergeCell ref="L72:L73"/>
    <mergeCell ref="M72:M73"/>
    <mergeCell ref="N72:N73"/>
    <mergeCell ref="O72:O73"/>
    <mergeCell ref="F65:H65"/>
    <mergeCell ref="T76:T77"/>
    <mergeCell ref="W76:W77"/>
    <mergeCell ref="Z76:Z77"/>
    <mergeCell ref="U76:V77"/>
    <mergeCell ref="X76:Y77"/>
    <mergeCell ref="Z74:Z75"/>
    <mergeCell ref="I76:J77"/>
    <mergeCell ref="K76:K77"/>
    <mergeCell ref="L76:L77"/>
    <mergeCell ref="M76:M77"/>
    <mergeCell ref="N76:N77"/>
    <mergeCell ref="O76:O77"/>
    <mergeCell ref="P76:P77"/>
    <mergeCell ref="Q76:R77"/>
    <mergeCell ref="S76:S77"/>
    <mergeCell ref="Q74:R75"/>
    <mergeCell ref="S74:S75"/>
    <mergeCell ref="T74:T75"/>
    <mergeCell ref="W74:W75"/>
    <mergeCell ref="F77:H77"/>
    <mergeCell ref="I74:J75"/>
    <mergeCell ref="K74:K75"/>
    <mergeCell ref="L74:L75"/>
    <mergeCell ref="A78:E78"/>
    <mergeCell ref="F59:H59"/>
    <mergeCell ref="D3:J3"/>
    <mergeCell ref="B3:C3"/>
    <mergeCell ref="V3:W3"/>
    <mergeCell ref="X62:Y63"/>
    <mergeCell ref="X64:Y65"/>
    <mergeCell ref="X66:Y67"/>
    <mergeCell ref="X68:Y69"/>
    <mergeCell ref="X72:Y73"/>
    <mergeCell ref="X74:Y75"/>
    <mergeCell ref="U62:V63"/>
    <mergeCell ref="U64:V65"/>
    <mergeCell ref="U66:V67"/>
    <mergeCell ref="U68:V69"/>
    <mergeCell ref="U72:V73"/>
    <mergeCell ref="U74:V75"/>
    <mergeCell ref="W68:W69"/>
    <mergeCell ref="W66:W67"/>
    <mergeCell ref="S64:S65"/>
    <mergeCell ref="T64:T65"/>
    <mergeCell ref="W64:W65"/>
    <mergeCell ref="A59:E59"/>
    <mergeCell ref="I59:Z61"/>
  </mergeCells>
  <phoneticPr fontId="14"/>
  <printOptions horizontalCentered="1" verticalCentered="1" gridLinesSet="0"/>
  <pageMargins left="0" right="0" top="0" bottom="0" header="0.31496062992125984" footer="0.31496062992125984"/>
  <pageSetup paperSize="9" scale="3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AD86"/>
  <sheetViews>
    <sheetView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75" defaultRowHeight="13.5"/>
  <cols>
    <col min="1" max="1" width="10.125" customWidth="1"/>
    <col min="2" max="3" width="7.625" customWidth="1"/>
    <col min="4" max="4" width="18.375" customWidth="1"/>
    <col min="5" max="5" width="15.625" customWidth="1"/>
    <col min="6" max="6" width="14.125" customWidth="1"/>
    <col min="7" max="7" width="16.125" customWidth="1"/>
    <col min="8" max="8" width="19" customWidth="1"/>
    <col min="9" max="9" width="15.375" customWidth="1"/>
    <col min="10" max="11" width="19" customWidth="1"/>
    <col min="12" max="12" width="20.875" customWidth="1"/>
    <col min="13" max="13" width="19" customWidth="1"/>
    <col min="14" max="14" width="21.625" customWidth="1"/>
    <col min="15" max="15" width="12.375" customWidth="1"/>
    <col min="16" max="16" width="28.625" customWidth="1"/>
    <col min="17" max="17" width="20.5" customWidth="1"/>
    <col min="18" max="19" width="21.125" customWidth="1"/>
    <col min="20" max="20" width="26.5" customWidth="1"/>
    <col min="21" max="22" width="11.625" customWidth="1"/>
    <col min="23" max="23" width="22.875" customWidth="1"/>
    <col min="24" max="25" width="11.625" customWidth="1"/>
    <col min="26" max="26" width="28.625" customWidth="1"/>
  </cols>
  <sheetData>
    <row r="1" spans="1:30" s="213" customFormat="1" ht="33.75" thickBot="1">
      <c r="A1" s="204"/>
      <c r="B1" s="205" t="s">
        <v>55</v>
      </c>
      <c r="C1" s="205"/>
      <c r="D1" s="206">
        <v>3500</v>
      </c>
      <c r="E1" s="207" t="s">
        <v>56</v>
      </c>
      <c r="F1" s="205" t="s">
        <v>57</v>
      </c>
      <c r="G1" s="208">
        <v>0.67</v>
      </c>
      <c r="H1" s="209"/>
      <c r="I1" s="205" t="s">
        <v>58</v>
      </c>
      <c r="J1" s="210">
        <v>680</v>
      </c>
      <c r="K1" s="211"/>
      <c r="L1" s="327" t="s">
        <v>158</v>
      </c>
      <c r="M1" s="206">
        <v>3000</v>
      </c>
      <c r="N1" s="207" t="s">
        <v>56</v>
      </c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</row>
    <row r="2" spans="1:30" s="213" customFormat="1" ht="35.25" thickTop="1" thickBot="1">
      <c r="A2" s="214"/>
      <c r="B2" s="215" t="s">
        <v>59</v>
      </c>
      <c r="C2" s="215"/>
      <c r="D2" s="206">
        <f>D1</f>
        <v>3500</v>
      </c>
      <c r="E2" s="207" t="s">
        <v>56</v>
      </c>
      <c r="F2" s="216" t="s">
        <v>60</v>
      </c>
      <c r="G2" s="217">
        <v>0.35</v>
      </c>
      <c r="H2" s="218"/>
      <c r="I2" s="219" t="s">
        <v>61</v>
      </c>
      <c r="J2" s="210">
        <v>0</v>
      </c>
      <c r="K2" s="218"/>
      <c r="L2" s="328" t="s">
        <v>159</v>
      </c>
      <c r="M2" s="206">
        <v>2000</v>
      </c>
      <c r="N2" s="207" t="s">
        <v>56</v>
      </c>
      <c r="P2" s="218"/>
      <c r="Q2" s="218"/>
      <c r="R2" s="218"/>
      <c r="S2" s="220">
        <v>2023</v>
      </c>
      <c r="T2" s="221" t="s">
        <v>62</v>
      </c>
      <c r="U2" s="221"/>
      <c r="V2" s="222"/>
      <c r="W2" s="221" t="s">
        <v>63</v>
      </c>
      <c r="X2" s="221"/>
      <c r="Y2" s="222"/>
      <c r="Z2" s="221" t="s">
        <v>64</v>
      </c>
    </row>
    <row r="3" spans="1:30" s="213" customFormat="1" ht="34.5" thickTop="1" thickBot="1">
      <c r="A3" s="336" t="s">
        <v>163</v>
      </c>
      <c r="B3" s="411" t="s">
        <v>162</v>
      </c>
      <c r="C3" s="411"/>
      <c r="D3" s="514" t="s">
        <v>178</v>
      </c>
      <c r="E3" s="410"/>
      <c r="F3" s="410"/>
      <c r="G3" s="410"/>
      <c r="H3" s="410"/>
      <c r="I3" s="410"/>
      <c r="J3" s="410"/>
      <c r="K3" s="223" t="s">
        <v>65</v>
      </c>
      <c r="L3" s="224"/>
      <c r="M3" s="225" t="s">
        <v>66</v>
      </c>
      <c r="N3" s="224"/>
      <c r="O3" s="225" t="s">
        <v>67</v>
      </c>
      <c r="P3" s="224">
        <v>1</v>
      </c>
      <c r="Q3" s="226" t="s">
        <v>68</v>
      </c>
      <c r="R3" s="227" t="s">
        <v>69</v>
      </c>
      <c r="S3" s="228" t="s">
        <v>70</v>
      </c>
      <c r="T3" s="223" t="s">
        <v>71</v>
      </c>
      <c r="U3" s="229">
        <f>新刊!U3</f>
        <v>0</v>
      </c>
      <c r="V3" s="412" t="s">
        <v>72</v>
      </c>
      <c r="W3" s="412"/>
      <c r="X3" s="230">
        <f>新刊!X3</f>
        <v>344</v>
      </c>
      <c r="Y3" s="335" t="s">
        <v>73</v>
      </c>
      <c r="Z3" s="335"/>
      <c r="AA3" s="231"/>
      <c r="AB3" s="231"/>
      <c r="AC3" s="232"/>
      <c r="AD3" s="226"/>
    </row>
    <row r="4" spans="1:30" ht="22.5" customHeight="1" thickTop="1" thickBot="1">
      <c r="A4" s="48" t="s">
        <v>1</v>
      </c>
      <c r="B4" s="49"/>
      <c r="C4" s="49"/>
      <c r="D4" s="49"/>
      <c r="E4" s="49"/>
      <c r="F4" s="49"/>
      <c r="G4" s="50"/>
      <c r="H4" s="51" t="s">
        <v>2</v>
      </c>
      <c r="I4" s="52"/>
      <c r="J4" s="49"/>
      <c r="K4" s="49"/>
      <c r="L4" s="49"/>
      <c r="M4" s="49"/>
      <c r="N4" s="50"/>
      <c r="O4" s="51" t="s">
        <v>3</v>
      </c>
      <c r="P4" s="52"/>
      <c r="Q4" s="49"/>
      <c r="R4" s="49"/>
      <c r="S4" s="49"/>
      <c r="T4" s="49"/>
      <c r="U4" s="49"/>
      <c r="V4" s="49"/>
      <c r="W4" s="49"/>
      <c r="X4" s="49"/>
      <c r="Y4" s="49"/>
      <c r="Z4" s="53"/>
    </row>
    <row r="5" spans="1:30" s="1" customFormat="1" ht="22.5" customHeight="1" thickTop="1" thickBot="1">
      <c r="A5" s="54" t="s">
        <v>4</v>
      </c>
      <c r="B5" s="55" t="s">
        <v>5</v>
      </c>
      <c r="C5" s="56" t="s">
        <v>6</v>
      </c>
      <c r="D5" s="57" t="s">
        <v>7</v>
      </c>
      <c r="E5" s="58" t="s">
        <v>8</v>
      </c>
      <c r="F5" s="57" t="s">
        <v>9</v>
      </c>
      <c r="G5" s="59" t="s">
        <v>10</v>
      </c>
      <c r="H5" s="60" t="s">
        <v>11</v>
      </c>
      <c r="I5" s="58" t="s">
        <v>12</v>
      </c>
      <c r="J5" s="58" t="s">
        <v>6</v>
      </c>
      <c r="K5" s="58" t="s">
        <v>8</v>
      </c>
      <c r="L5" s="57" t="s">
        <v>13</v>
      </c>
      <c r="M5" s="57" t="s">
        <v>9</v>
      </c>
      <c r="N5" s="59" t="s">
        <v>10</v>
      </c>
      <c r="O5" s="61" t="s">
        <v>11</v>
      </c>
      <c r="P5" s="57" t="s">
        <v>14</v>
      </c>
      <c r="Q5" s="57" t="s">
        <v>0</v>
      </c>
      <c r="R5" s="58" t="s">
        <v>8</v>
      </c>
      <c r="S5" s="57" t="s">
        <v>15</v>
      </c>
      <c r="T5" s="312" t="s">
        <v>16</v>
      </c>
      <c r="U5" s="313" t="s">
        <v>147</v>
      </c>
      <c r="V5" s="313" t="s">
        <v>17</v>
      </c>
      <c r="W5" s="314" t="s">
        <v>18</v>
      </c>
      <c r="X5" s="58" t="s">
        <v>148</v>
      </c>
      <c r="Y5" s="57" t="s">
        <v>9</v>
      </c>
      <c r="Z5" s="59" t="s">
        <v>19</v>
      </c>
    </row>
    <row r="6" spans="1:30" ht="19.5" customHeight="1">
      <c r="A6" s="62"/>
      <c r="B6" s="63"/>
      <c r="C6" s="39"/>
      <c r="D6" s="64"/>
      <c r="E6" s="64"/>
      <c r="F6" s="65"/>
      <c r="G6" s="5"/>
      <c r="H6" s="66" t="s">
        <v>51</v>
      </c>
      <c r="I6" s="42">
        <f>IF(L6&gt;0,1,0)</f>
        <v>1</v>
      </c>
      <c r="J6" s="42">
        <f>IF(L6&gt;0,$C$12,0)</f>
        <v>2</v>
      </c>
      <c r="K6" s="4">
        <f>IF(ISERROR((I6*T6)/L6),0,(I6*T6)/L6)</f>
        <v>3500</v>
      </c>
      <c r="L6" s="7">
        <f>IF(MOD($X$3/64,1)=0,$X$3/64,INT($X$3/64))</f>
        <v>5</v>
      </c>
      <c r="M6" s="15" t="e">
        <f ca="1">fcbz(K6)</f>
        <v>#NAME?</v>
      </c>
      <c r="N6" s="40" t="e">
        <f ca="1">IF(M6&gt;50,INT(J6*L6*M6),INT(J6*K6*L6*M6))</f>
        <v>#NAME?</v>
      </c>
      <c r="O6" s="67" t="s">
        <v>20</v>
      </c>
      <c r="P6" s="68"/>
      <c r="Q6" s="44">
        <f>IF(L6&gt;0,$D$1,0)</f>
        <v>3500</v>
      </c>
      <c r="R6" s="42">
        <v>64</v>
      </c>
      <c r="S6" s="42">
        <v>64</v>
      </c>
      <c r="T6" s="4">
        <f>INT(IF(ISERROR($D$1*(R6/S6)),0,$D$1*(R6/S6)*$L$6))</f>
        <v>17500</v>
      </c>
      <c r="U6" s="44">
        <f>V6*100</f>
        <v>300</v>
      </c>
      <c r="V6" s="27">
        <f>($A$14+$A$16)+1</f>
        <v>3</v>
      </c>
      <c r="W6" s="44">
        <f>IF(Q6*V6/100&gt;U6,T6*(1+V6/100),T6+U6*L6)</f>
        <v>19000</v>
      </c>
      <c r="X6" s="381"/>
      <c r="Y6" s="28"/>
      <c r="Z6" s="5">
        <f>INT(W6*Y6)</f>
        <v>0</v>
      </c>
    </row>
    <row r="7" spans="1:30" ht="19.5" customHeight="1">
      <c r="A7" s="69"/>
      <c r="B7" s="63" t="s">
        <v>21</v>
      </c>
      <c r="C7" s="39">
        <f>(A14+A16)/2</f>
        <v>1</v>
      </c>
      <c r="D7" s="197">
        <f>新刊!D7</f>
        <v>344</v>
      </c>
      <c r="E7" s="70"/>
      <c r="F7" s="17">
        <v>500</v>
      </c>
      <c r="G7" s="5">
        <f>INT(C7*D7*F7)</f>
        <v>172000</v>
      </c>
      <c r="H7" s="66" t="s">
        <v>52</v>
      </c>
      <c r="I7" s="42">
        <f>IF(L7&gt;0,1,0)</f>
        <v>0</v>
      </c>
      <c r="J7" s="42">
        <f>IF(L7&gt;0,$C$12,0)</f>
        <v>0</v>
      </c>
      <c r="K7" s="4">
        <f>IF(ISERROR((I7*T7)/L7),0,(I7*T7)/L7)</f>
        <v>0</v>
      </c>
      <c r="L7" s="7">
        <f>IF(OR(MOD($X$3/64,1)=0.5,MOD($X$3/64,1)=0.625,MOD($X$3/64,1)=0.75,MOD($X$3/64,1)=0.875),1,0)</f>
        <v>0</v>
      </c>
      <c r="M7" s="15" t="e">
        <f ca="1">fcbz(K7)</f>
        <v>#NAME?</v>
      </c>
      <c r="N7" s="40" t="e">
        <f ca="1">IF(M7&gt;50,INT(J7*L7*M7),INT(J7*K7*L7*M7))</f>
        <v>#NAME?</v>
      </c>
      <c r="O7" s="71"/>
      <c r="P7" s="72"/>
      <c r="Q7" s="44">
        <f>IF(L7&gt;0,$D$1,0)</f>
        <v>0</v>
      </c>
      <c r="R7" s="42">
        <v>32</v>
      </c>
      <c r="S7" s="42">
        <v>64</v>
      </c>
      <c r="T7" s="4">
        <f>INT(IF(ISERROR($D$1*(R7/S7)),0,$D$1*(R7/S7)*$L$7))</f>
        <v>0</v>
      </c>
      <c r="U7" s="44">
        <f>V7*100</f>
        <v>300</v>
      </c>
      <c r="V7" s="27">
        <f>($A$14+$A$16)+1</f>
        <v>3</v>
      </c>
      <c r="W7" s="44">
        <f>IF(T7*V7/100&gt;U7,T7*(1+V7/100),T7+U7)</f>
        <v>300</v>
      </c>
      <c r="X7" s="381"/>
      <c r="Y7" s="43"/>
      <c r="Z7" s="5">
        <f>INT(W7*Y7)</f>
        <v>0</v>
      </c>
    </row>
    <row r="8" spans="1:30" ht="19.5" customHeight="1">
      <c r="A8" s="73" t="s">
        <v>22</v>
      </c>
      <c r="B8" s="63"/>
      <c r="C8" s="39"/>
      <c r="D8" s="64"/>
      <c r="E8" s="70"/>
      <c r="F8" s="17"/>
      <c r="G8" s="5"/>
      <c r="H8" s="66" t="s">
        <v>53</v>
      </c>
      <c r="I8" s="42">
        <v>1</v>
      </c>
      <c r="J8" s="42">
        <v>2</v>
      </c>
      <c r="K8" s="4">
        <f>IF(ISERROR((I8*T8)/L8),0,(I8*T8)/L8)</f>
        <v>875</v>
      </c>
      <c r="L8" s="7">
        <f>IF(OR(MOD($X$3/64,1)=0.25,MOD($X$3/64,1)=0.375,MOD($X$3/64,1)=0.75,MOD($X$3/64,1)=0.875),1,0)</f>
        <v>1</v>
      </c>
      <c r="M8" s="15" t="e">
        <f ca="1">fcbz(K8)</f>
        <v>#NAME?</v>
      </c>
      <c r="N8" s="40" t="e">
        <f ca="1">IF(M8&gt;50,INT(J8*L8*M8),INT(J8*K8*L8*M8))</f>
        <v>#NAME?</v>
      </c>
      <c r="O8" s="74"/>
      <c r="P8" s="68"/>
      <c r="Q8" s="44">
        <f>IF(L8&gt;0,$D$1,0)</f>
        <v>3500</v>
      </c>
      <c r="R8" s="42">
        <v>16</v>
      </c>
      <c r="S8" s="42">
        <v>64</v>
      </c>
      <c r="T8" s="4">
        <f>INT(IF(ISERROR($D$1*(R8/S8)),0,$D$1*(R8/S8)*$L$8))</f>
        <v>875</v>
      </c>
      <c r="U8" s="44">
        <f>V8*100</f>
        <v>300</v>
      </c>
      <c r="V8" s="27">
        <f>($A$14+$A$16)+1</f>
        <v>3</v>
      </c>
      <c r="W8" s="44">
        <f>IF(T8*V8/100&gt;U8,T8*(1+V8/100),T8+U8)</f>
        <v>1175</v>
      </c>
      <c r="X8" s="381"/>
      <c r="Y8" s="43"/>
      <c r="Z8" s="5">
        <f>INT(W8*Y8)</f>
        <v>0</v>
      </c>
    </row>
    <row r="9" spans="1:30" ht="19.5" customHeight="1">
      <c r="A9" s="69"/>
      <c r="B9" s="75"/>
      <c r="C9" s="39"/>
      <c r="D9" s="64"/>
      <c r="E9" s="70"/>
      <c r="F9" s="17"/>
      <c r="G9" s="5"/>
      <c r="H9" s="66" t="s">
        <v>23</v>
      </c>
      <c r="I9" s="42">
        <v>1</v>
      </c>
      <c r="J9" s="42">
        <v>2</v>
      </c>
      <c r="K9" s="4">
        <f>IF(ISERROR((I9*T9)/L9),0,(I9*T9)/L9)</f>
        <v>437</v>
      </c>
      <c r="L9" s="7">
        <f>IF(OR(MOD($X$3/64,1)=0.125,MOD($X$3/64,1)=0.375,MOD($X$3/64,1)=0.625,MOD($X$3/64,1)=0.875),1,0)</f>
        <v>1</v>
      </c>
      <c r="M9" s="15" t="e">
        <f ca="1">fcbz(K9)</f>
        <v>#NAME?</v>
      </c>
      <c r="N9" s="40" t="e">
        <f ca="1">IF(M9&gt;50,INT(J9*L9*M9),INT(J9*K9*L9*M9))</f>
        <v>#NAME?</v>
      </c>
      <c r="O9" s="74"/>
      <c r="P9" s="68"/>
      <c r="Q9" s="44">
        <f>IF(L9&gt;0,$D$1,0)</f>
        <v>3500</v>
      </c>
      <c r="R9" s="42">
        <v>8</v>
      </c>
      <c r="S9" s="42">
        <v>64</v>
      </c>
      <c r="T9" s="4">
        <f>INT(IF(ISERROR($D$1*(R9/S9)),0,$D$1*(R9/S9)*$L$9))</f>
        <v>437</v>
      </c>
      <c r="U9" s="44">
        <f>V9*100</f>
        <v>300</v>
      </c>
      <c r="V9" s="27">
        <f>($A$14+$A$16)+1</f>
        <v>3</v>
      </c>
      <c r="W9" s="44">
        <f>IF(T9*V9/100&gt;U9,T9*(1+V9/100),T9+U9)</f>
        <v>737</v>
      </c>
      <c r="X9" s="381"/>
      <c r="Y9" s="43"/>
      <c r="Z9" s="5">
        <f>INT(W9*Y9)</f>
        <v>0</v>
      </c>
    </row>
    <row r="10" spans="1:30" ht="19.5" customHeight="1" thickBot="1">
      <c r="A10" s="69"/>
      <c r="B10" s="75"/>
      <c r="C10" s="39"/>
      <c r="D10" s="64"/>
      <c r="E10" s="70"/>
      <c r="F10" s="17"/>
      <c r="G10" s="5"/>
      <c r="H10" s="76"/>
      <c r="I10" s="14"/>
      <c r="J10" s="14"/>
      <c r="K10" s="17"/>
      <c r="L10" s="17"/>
      <c r="M10" s="29"/>
      <c r="N10" s="16"/>
      <c r="O10" s="77"/>
      <c r="P10" s="68"/>
      <c r="Q10" s="17"/>
      <c r="R10" s="17"/>
      <c r="S10" s="17"/>
      <c r="T10" s="17"/>
      <c r="U10" s="17"/>
      <c r="V10" s="27"/>
      <c r="W10" s="17"/>
      <c r="X10" s="382"/>
      <c r="Y10" s="37"/>
      <c r="Z10" s="311"/>
    </row>
    <row r="11" spans="1:30" ht="19.5" customHeight="1" thickTop="1" thickBot="1">
      <c r="A11" s="69"/>
      <c r="B11" s="75" t="s">
        <v>54</v>
      </c>
      <c r="C11" s="39"/>
      <c r="D11" s="64"/>
      <c r="E11" s="70"/>
      <c r="F11" s="17"/>
      <c r="G11" s="5">
        <v>220000</v>
      </c>
      <c r="H11" s="76"/>
      <c r="I11" s="14"/>
      <c r="J11" s="14"/>
      <c r="K11" s="17"/>
      <c r="L11" s="17"/>
      <c r="M11" s="29"/>
      <c r="N11" s="16"/>
      <c r="O11" s="78"/>
      <c r="P11" s="68"/>
      <c r="Q11" s="17"/>
      <c r="R11" s="14"/>
      <c r="S11" s="14"/>
      <c r="T11" s="17"/>
      <c r="U11" s="17"/>
      <c r="V11" s="27"/>
      <c r="W11" s="315">
        <f>ROUNDUP(SUM(W6:W9)/500,0)*500</f>
        <v>21500</v>
      </c>
      <c r="X11" s="383">
        <v>110</v>
      </c>
      <c r="Y11" s="318">
        <v>140</v>
      </c>
      <c r="Z11" s="316">
        <f>ROUND(W11*X11*Y11/1000,0)</f>
        <v>331100</v>
      </c>
    </row>
    <row r="12" spans="1:30" ht="19.5" customHeight="1" thickTop="1">
      <c r="A12" s="69"/>
      <c r="B12" s="63" t="s">
        <v>24</v>
      </c>
      <c r="C12" s="39">
        <f>A14+A16</f>
        <v>2</v>
      </c>
      <c r="D12" s="64"/>
      <c r="E12" s="197">
        <f>(L6+L7+L8+L9)</f>
        <v>7</v>
      </c>
      <c r="F12" s="17">
        <v>2300</v>
      </c>
      <c r="G12" s="5">
        <f>INT(E12*F12*C12)</f>
        <v>32200</v>
      </c>
      <c r="H12" s="76"/>
      <c r="I12" s="14"/>
      <c r="J12" s="14"/>
      <c r="K12" s="17"/>
      <c r="L12" s="17"/>
      <c r="M12" s="29"/>
      <c r="N12" s="16"/>
      <c r="O12" s="78"/>
      <c r="P12" s="68"/>
      <c r="Q12" s="17"/>
      <c r="R12" s="17"/>
      <c r="S12" s="17"/>
      <c r="T12" s="17"/>
      <c r="U12" s="17"/>
      <c r="V12" s="27"/>
      <c r="W12" s="17"/>
      <c r="X12" s="384"/>
      <c r="Y12" s="317"/>
      <c r="Z12" s="16"/>
    </row>
    <row r="13" spans="1:30" ht="19.5" customHeight="1">
      <c r="A13" s="73" t="s">
        <v>25</v>
      </c>
      <c r="B13" s="79"/>
      <c r="C13" s="39"/>
      <c r="D13" s="39"/>
      <c r="E13" s="70"/>
      <c r="F13" s="17"/>
      <c r="G13" s="5"/>
      <c r="H13" s="76"/>
      <c r="I13" s="14"/>
      <c r="J13" s="14"/>
      <c r="K13" s="17"/>
      <c r="L13" s="17"/>
      <c r="M13" s="29"/>
      <c r="N13" s="16"/>
      <c r="O13" s="78"/>
      <c r="P13" s="68"/>
      <c r="Q13" s="17"/>
      <c r="R13" s="17"/>
      <c r="S13" s="17"/>
      <c r="T13" s="17"/>
      <c r="U13" s="17"/>
      <c r="V13" s="27"/>
      <c r="W13" s="17"/>
      <c r="X13" s="385"/>
      <c r="Y13" s="29"/>
      <c r="Z13" s="16"/>
    </row>
    <row r="14" spans="1:30" ht="19.5" customHeight="1">
      <c r="A14" s="80">
        <f>新刊!A14</f>
        <v>1</v>
      </c>
      <c r="B14" s="79" t="s">
        <v>26</v>
      </c>
      <c r="C14" s="39">
        <f>(A14+A16)/2</f>
        <v>1</v>
      </c>
      <c r="D14" s="39"/>
      <c r="E14" s="13">
        <v>50</v>
      </c>
      <c r="F14" s="196">
        <f>F7*E14*1/100</f>
        <v>250</v>
      </c>
      <c r="G14" s="5">
        <f>C14*D14*F14</f>
        <v>0</v>
      </c>
      <c r="H14" s="76"/>
      <c r="I14" s="14"/>
      <c r="J14" s="14"/>
      <c r="K14" s="17"/>
      <c r="L14" s="17"/>
      <c r="M14" s="29"/>
      <c r="N14" s="16"/>
      <c r="O14" s="78"/>
      <c r="P14" s="68"/>
      <c r="Q14" s="17"/>
      <c r="R14" s="17"/>
      <c r="S14" s="17"/>
      <c r="T14" s="17"/>
      <c r="U14" s="17"/>
      <c r="V14" s="27"/>
      <c r="W14" s="17"/>
      <c r="X14" s="385"/>
      <c r="Y14" s="29"/>
      <c r="Z14" s="16"/>
    </row>
    <row r="15" spans="1:30" ht="19.5" customHeight="1">
      <c r="A15" s="80" t="str">
        <f>新刊!A15</f>
        <v>×</v>
      </c>
      <c r="B15" s="79" t="s">
        <v>28</v>
      </c>
      <c r="C15" s="13"/>
      <c r="D15" s="13"/>
      <c r="E15" s="70"/>
      <c r="F15" s="17"/>
      <c r="G15" s="16">
        <v>50000</v>
      </c>
      <c r="H15" s="76"/>
      <c r="I15" s="14"/>
      <c r="J15" s="14"/>
      <c r="K15" s="17"/>
      <c r="L15" s="17"/>
      <c r="M15" s="29"/>
      <c r="N15" s="16"/>
      <c r="O15" s="78"/>
      <c r="P15" s="68"/>
      <c r="Q15" s="17"/>
      <c r="R15" s="17"/>
      <c r="S15" s="17"/>
      <c r="T15" s="17"/>
      <c r="U15" s="17"/>
      <c r="V15" s="27"/>
      <c r="W15" s="17"/>
      <c r="X15" s="385"/>
      <c r="Y15" s="29"/>
      <c r="Z15" s="16"/>
    </row>
    <row r="16" spans="1:30" ht="19.5" customHeight="1" thickBot="1">
      <c r="A16" s="82">
        <f>新刊!A16</f>
        <v>1</v>
      </c>
      <c r="B16" s="83"/>
      <c r="C16" s="84"/>
      <c r="D16" s="85"/>
      <c r="E16" s="85"/>
      <c r="F16" s="86" t="s">
        <v>18</v>
      </c>
      <c r="G16" s="10">
        <f>INT(SUM(G6:G15))</f>
        <v>474200</v>
      </c>
      <c r="H16" s="200" t="s">
        <v>29</v>
      </c>
      <c r="I16" s="87"/>
      <c r="J16" s="88"/>
      <c r="K16" s="89"/>
      <c r="L16" s="85"/>
      <c r="M16" s="86" t="s">
        <v>18</v>
      </c>
      <c r="N16" s="41" t="e">
        <f ca="1">INT(SUM(N6:N15))</f>
        <v>#NAME?</v>
      </c>
      <c r="O16" s="90"/>
      <c r="P16" s="91"/>
      <c r="Q16" s="92"/>
      <c r="R16" s="93"/>
      <c r="S16" s="93"/>
      <c r="T16" s="89"/>
      <c r="U16" s="89"/>
      <c r="V16" s="93"/>
      <c r="W16" s="89"/>
      <c r="X16" s="386"/>
      <c r="Y16" s="94" t="s">
        <v>18</v>
      </c>
      <c r="Z16" s="10">
        <f>INT(SUM(Z6:Z15))</f>
        <v>331100</v>
      </c>
    </row>
    <row r="17" spans="1:26" ht="19.5" customHeight="1" thickTop="1">
      <c r="A17" s="175" t="str">
        <f>IF($R$3&gt;0,"口絵",0)</f>
        <v>口絵</v>
      </c>
      <c r="B17" s="176" t="str">
        <f>IF(A17="口絵","製版",0)</f>
        <v>製版</v>
      </c>
      <c r="C17" s="42">
        <f>(A19+A21)/2</f>
        <v>0</v>
      </c>
      <c r="D17" s="42">
        <f>IF(H17="口絵（３２頁）",32*L17,0)+IF(H18="口絵（１６頁）",16*L18,0)+IF(H19="口絵（　８頁）",8*L19,0)+IF(H20="口絵（　４頁）",4*L20,0)+IF(H21="口絵（　２頁）",2*L21,0)</f>
        <v>0</v>
      </c>
      <c r="E17" s="42"/>
      <c r="F17" s="17"/>
      <c r="G17" s="40">
        <f>C17*D17*F17</f>
        <v>0</v>
      </c>
      <c r="H17" s="177">
        <f>IF(L17&gt;0,"口絵（３２頁）",0)</f>
        <v>0</v>
      </c>
      <c r="I17" s="42">
        <v>1</v>
      </c>
      <c r="J17" s="42">
        <f>IF(L17&gt;0,$A$19+$A$21,0)</f>
        <v>0</v>
      </c>
      <c r="K17" s="44">
        <f>IF(ISERROR((I17*T17)/L17),0,(I17*T17)/L17)</f>
        <v>0</v>
      </c>
      <c r="L17" s="42">
        <f>IF(MOD($U$3/32,1)=0,$U$3/32,INT($U$3/32))</f>
        <v>0</v>
      </c>
      <c r="M17" s="43">
        <f>IF(L17&gt;0,tanka(K17),0)</f>
        <v>0</v>
      </c>
      <c r="N17" s="40">
        <f>IF(K17&lt;=5000,INT(J17*L17*M17),INT(J17*K17*L17*M17))</f>
        <v>0</v>
      </c>
      <c r="O17" s="74">
        <f>IF(L17&gt;0,"口絵 用紙",0)</f>
        <v>0</v>
      </c>
      <c r="P17" s="178"/>
      <c r="Q17" s="44">
        <f>IF(L17&gt;0,$D$1,0)</f>
        <v>0</v>
      </c>
      <c r="R17" s="42">
        <f>IF(L17&gt;0,32,0)</f>
        <v>0</v>
      </c>
      <c r="S17" s="42">
        <f>IF(L17&gt;0,32,0)</f>
        <v>0</v>
      </c>
      <c r="T17" s="44">
        <f>INT(IF(ISERROR(Q17*(R17/S17)),0,Q17*(R17/S17)*L17))</f>
        <v>0</v>
      </c>
      <c r="U17" s="44">
        <f>V17*100</f>
        <v>100</v>
      </c>
      <c r="V17" s="27">
        <f>(A19+A21)+1</f>
        <v>1</v>
      </c>
      <c r="W17" s="44">
        <f>IF(Q17*V17/100&gt;U17,T17*(1+V17/100),T17+U17*L17)</f>
        <v>0</v>
      </c>
      <c r="X17" s="381"/>
      <c r="Y17" s="29"/>
      <c r="Z17" s="5">
        <f>INT(W17*Y17)</f>
        <v>0</v>
      </c>
    </row>
    <row r="18" spans="1:26" ht="19.5" customHeight="1">
      <c r="A18" s="179"/>
      <c r="B18" s="176" t="str">
        <f>IF(A17="口絵","刷版",0)</f>
        <v>刷版</v>
      </c>
      <c r="C18" s="42">
        <f>A19+A21</f>
        <v>0</v>
      </c>
      <c r="D18" s="44"/>
      <c r="E18" s="42">
        <f>L17+L18+L19+L20+L21</f>
        <v>0</v>
      </c>
      <c r="F18" s="17">
        <f>IF($A$17="口絵",3000,0)</f>
        <v>3000</v>
      </c>
      <c r="G18" s="40">
        <f>C18*F18*E18</f>
        <v>0</v>
      </c>
      <c r="H18" s="177">
        <f>IF(L18&gt;0,"口絵（１６頁）",0)</f>
        <v>0</v>
      </c>
      <c r="I18" s="42">
        <v>1</v>
      </c>
      <c r="J18" s="42">
        <f>IF(L18&gt;0,$A$19+$A$21,0)</f>
        <v>0</v>
      </c>
      <c r="K18" s="44">
        <f>IF(ISERROR((I18*T18)/L18),0,(I18*T18)/L18)</f>
        <v>0</v>
      </c>
      <c r="L18" s="42">
        <f>IF(OR(MOD($U$3/32,1)=0.5,MOD($U$3/32,1)=0.625,MOD($U$3/32,1)=0.75,MOD($U$3/32,1)=0.875,MOD($U$3/32,1)=0.53125,MOD($U$3/32,1)=0.5625,MOD($U$3/32,1)=0.59375,MOD($U$3/32,1)=0.65625,MOD($U$3/32,1)=0.6875,MOD($U$3/32,1)=0.71875,MOD($U$3/32,1)=0.78125,MOD($U$3/32,1)=0.8125,MOD($U$3/32,1)=0.84375,MOD($U$3/32,1)=0.90625,MOD($U$3/32,1)=0.9375,MOD($U$3/32,1)=0.96875),1,0)</f>
        <v>0</v>
      </c>
      <c r="M18" s="43">
        <f>IF(L18&gt;0,tanka(K18),0)</f>
        <v>0</v>
      </c>
      <c r="N18" s="40">
        <f>IF(K18&lt;=5000,INT(J18*L18*M18),INT(J18*K18*L18*M18))</f>
        <v>0</v>
      </c>
      <c r="O18" s="74">
        <f>IF(L18&gt;0,"口絵 用紙",0)</f>
        <v>0</v>
      </c>
      <c r="P18" s="178"/>
      <c r="Q18" s="44">
        <f>IF(L18&gt;0,$D$1,0)</f>
        <v>0</v>
      </c>
      <c r="R18" s="42">
        <f>IF(L18&gt;0,16,0)</f>
        <v>0</v>
      </c>
      <c r="S18" s="42">
        <f>IF(L18&gt;0,32,0)</f>
        <v>0</v>
      </c>
      <c r="T18" s="44">
        <f>INT(IF(ISERROR(Q18*(R18/S18)),0,Q18*(R18/S18)*L18))</f>
        <v>0</v>
      </c>
      <c r="U18" s="44">
        <f>V18*100</f>
        <v>100</v>
      </c>
      <c r="V18" s="45">
        <f>V17</f>
        <v>1</v>
      </c>
      <c r="W18" s="44">
        <f>IF(T18*V18/100&gt;U18,T18*(1+V18/100),T18+U18)</f>
        <v>100</v>
      </c>
      <c r="X18" s="381"/>
      <c r="Y18" s="43"/>
      <c r="Z18" s="5">
        <f>INT(W18*Y18)</f>
        <v>0</v>
      </c>
    </row>
    <row r="19" spans="1:26" ht="19.5" customHeight="1">
      <c r="A19" s="80">
        <f>新刊!A19</f>
        <v>0</v>
      </c>
      <c r="B19" s="180" t="str">
        <f>IF(A17="口絵","分解代",0)</f>
        <v>分解代</v>
      </c>
      <c r="C19" s="44"/>
      <c r="D19" s="44"/>
      <c r="E19" s="14"/>
      <c r="F19" s="17"/>
      <c r="G19" s="40">
        <f>E19*F19</f>
        <v>0</v>
      </c>
      <c r="H19" s="177">
        <f>IF(L19&gt;0,"口絵（　８頁）",0)</f>
        <v>0</v>
      </c>
      <c r="I19" s="42">
        <v>1</v>
      </c>
      <c r="J19" s="42">
        <f>IF(L19&gt;0,$A$19+$A$21,0)</f>
        <v>0</v>
      </c>
      <c r="K19" s="44">
        <f>IF(ISERROR((I19*T19)/L19),0,(I19*T19)/L19)</f>
        <v>0</v>
      </c>
      <c r="L19" s="42">
        <f>IF(OR(MOD($U$3/32,1)=0.25,MOD($U$3/32,1)=0.375,MOD($U$3/32,1)=0.75,MOD($U$3/32,1)=0.875,MOD($U$3/32,1)=0.28125,MOD($U$3/32,1)=0.3125,MOD($U$3/32,1)=0.34375,MOD($U$3/32,1)=0.40625,MOD($U$3/32,1)=0.4375,MOD($U$3/32,1)=0.46875,MOD($U$3/32,1)=0.78125,MOD($U$3/32,1)=0.8125,MOD($U$3/32,1)=0.84375,MOD($U$3/32,1)=0.90625,MOD($U$3/32,1)=0.9375,MOD($U$3/32,1)=0.96875),1,0)</f>
        <v>0</v>
      </c>
      <c r="M19" s="43">
        <f>IF(L19&gt;0,tanka(K19),0)</f>
        <v>0</v>
      </c>
      <c r="N19" s="40">
        <f>IF(K19&lt;=5000,INT(J19*L19*M19),INT(J19*K19*L19*M19))</f>
        <v>0</v>
      </c>
      <c r="O19" s="74">
        <f>IF(L19&gt;0,"口絵 用紙",0)</f>
        <v>0</v>
      </c>
      <c r="P19" s="178"/>
      <c r="Q19" s="44">
        <f>IF(L19&gt;0,$D$1,0)</f>
        <v>0</v>
      </c>
      <c r="R19" s="42">
        <f>IF(L19&gt;0,8,0)</f>
        <v>0</v>
      </c>
      <c r="S19" s="42">
        <f>IF(L19&gt;0,32,0)</f>
        <v>0</v>
      </c>
      <c r="T19" s="44">
        <f>INT(IF(ISERROR(Q19*(R19/S19)),0,Q19*(R19/S19)*L19))</f>
        <v>0</v>
      </c>
      <c r="U19" s="44">
        <f>V19*100</f>
        <v>100</v>
      </c>
      <c r="V19" s="45">
        <f>V18</f>
        <v>1</v>
      </c>
      <c r="W19" s="44">
        <f>IF(T19*V19/100&gt;U19,T19*(1+V19/100),T19+U19)</f>
        <v>100</v>
      </c>
      <c r="X19" s="381"/>
      <c r="Y19" s="43"/>
      <c r="Z19" s="5">
        <f>INT(W19*Y19)</f>
        <v>0</v>
      </c>
    </row>
    <row r="20" spans="1:26" ht="19.5" customHeight="1">
      <c r="A20" s="80" t="str">
        <f>新刊!A20</f>
        <v>×</v>
      </c>
      <c r="B20" s="181" t="str">
        <f>IF(A17="口絵","訂正代",0)</f>
        <v>訂正代</v>
      </c>
      <c r="C20" s="182">
        <f>IF($A$17="口絵",(A19+A21)/2,0)</f>
        <v>0</v>
      </c>
      <c r="D20" s="198" t="s">
        <v>48</v>
      </c>
      <c r="E20" s="199">
        <v>50</v>
      </c>
      <c r="F20" s="38"/>
      <c r="G20" s="134">
        <f>C20*F20</f>
        <v>0</v>
      </c>
      <c r="H20" s="177">
        <f>IF(L20&gt;0,"口絵（　４頁）",0)</f>
        <v>0</v>
      </c>
      <c r="I20" s="42">
        <f>IF(L20&gt;0,1,0)</f>
        <v>0</v>
      </c>
      <c r="J20" s="42">
        <f>IF(L20&gt;0,$A$19+$A$21,0)</f>
        <v>0</v>
      </c>
      <c r="K20" s="44">
        <f>IF(ISERROR((I20*T20)/L20),0,(I20*T20)/L20)</f>
        <v>0</v>
      </c>
      <c r="L20" s="42">
        <f>IF(OR(MOD($U$3/32,1)=0.125,MOD($U$3/32,1)=0.375,MOD($U$3/32,1)=0.625,MOD($U$3/32,1)=0.875,MOD($U$3/32,1)=0.15625,MOD($U$3/32,1)=0.1875,MOD($U$3/32,1)=0.21875,MOD($U$3/32,1)=0.40625,MOD($U$3/32,1)=0.4375,MOD($U$3/32,1)=0.46875,MOD($U$3/32,1)=0.65625,MOD($U$3/32,1)=0.6875,MOD($U$3/32,1)=0.71875,MOD($U$3/32,1)=0.90625,MOD($U$3/32,1)=0.9375,MOD($U$3/32,1)=0.96875),1,0)</f>
        <v>0</v>
      </c>
      <c r="M20" s="43">
        <f>IF(L20&gt;0,tanka(K20),0)</f>
        <v>0</v>
      </c>
      <c r="N20" s="40">
        <f>IF(K20&lt;=5000,INT(J20*L20*M20),INT(J20*K20*L20*M20))</f>
        <v>0</v>
      </c>
      <c r="O20" s="74">
        <f>IF(L20&gt;0,"口絵 用紙",0)</f>
        <v>0</v>
      </c>
      <c r="P20" s="183"/>
      <c r="Q20" s="44">
        <f>IF(L20&gt;0,$D$1,0)</f>
        <v>0</v>
      </c>
      <c r="R20" s="42">
        <f>IF(L20&gt;0,4,0)</f>
        <v>0</v>
      </c>
      <c r="S20" s="42">
        <f>IF(L20&gt;0,32,0)</f>
        <v>0</v>
      </c>
      <c r="T20" s="44">
        <f>INT(IF(ISERROR(Q20*(R20/S20)),0,Q20*(R20/S20)*L20))</f>
        <v>0</v>
      </c>
      <c r="U20" s="44">
        <f>V20*100</f>
        <v>100</v>
      </c>
      <c r="V20" s="45">
        <f>V19</f>
        <v>1</v>
      </c>
      <c r="W20" s="44">
        <f>IF(T20*V20/100&gt;U20,T20*(1+V20/100),T20+U20)</f>
        <v>100</v>
      </c>
      <c r="X20" s="381"/>
      <c r="Y20" s="43"/>
      <c r="Z20" s="5">
        <f>INT(W20*Y20)</f>
        <v>0</v>
      </c>
    </row>
    <row r="21" spans="1:26" ht="19.5" customHeight="1">
      <c r="A21" s="80">
        <f>新刊!A21</f>
        <v>0</v>
      </c>
      <c r="B21" s="184"/>
      <c r="C21" s="185"/>
      <c r="D21" s="186"/>
      <c r="E21" s="186"/>
      <c r="F21" s="186"/>
      <c r="G21" s="187"/>
      <c r="H21" s="177">
        <f>IF(L21&gt;0,"口絵（　２頁）",0)</f>
        <v>0</v>
      </c>
      <c r="I21" s="42">
        <f>IF(L21&gt;0,1,0)</f>
        <v>0</v>
      </c>
      <c r="J21" s="42">
        <f>IF(L21&gt;0,$A$19+$A$21,0)</f>
        <v>0</v>
      </c>
      <c r="K21" s="44">
        <f>IF(ISERROR((I21*T21)/L21),0,(I21*T21)/L21)</f>
        <v>0</v>
      </c>
      <c r="L21" s="42">
        <f>IF(OR(MOD($U$3/32,1)=0.0625,MOD($U$3/32,1)=0.09375,MOD($U$3/32,1)=0.1875,MOD($U$3/32,1)=0.21875,MOD($U$3/32,1)=0.3125,MOD($U$3/32,1)=0.34375,MOD($U$3/32,1)=0.4375,MOD($U$3/32,1)=0.46875,MOD($U$3/32,1)=0.5625,MOD($U$3/32,1)=0.59375,MOD($U$3/32,1)=0.6875,MOD($U$3/32,1)=0.71875,MOD($U$3/32,1)=0.8125,MOD($U$3/32,1)=0.84375,MOD($U$3/32,1)=0.9375,MOD($U$3/32,1)=0.96875),1,0)</f>
        <v>0</v>
      </c>
      <c r="M21" s="43">
        <f>IF(L21&gt;0,tanka(K21),0)</f>
        <v>0</v>
      </c>
      <c r="N21" s="40">
        <f>IF(K21&lt;=5000,INT(J21*L21*M21),INT(J21*K21*L21*M21))</f>
        <v>0</v>
      </c>
      <c r="O21" s="74">
        <f>IF(L21&gt;0,"口絵 用紙",0)</f>
        <v>0</v>
      </c>
      <c r="P21" s="147"/>
      <c r="Q21" s="44">
        <f>IF(L21&gt;0,$D$1,0)</f>
        <v>0</v>
      </c>
      <c r="R21" s="42">
        <f>IF(L21&gt;0,2,0)</f>
        <v>0</v>
      </c>
      <c r="S21" s="42">
        <f>IF(L21&gt;0,32,0)</f>
        <v>0</v>
      </c>
      <c r="T21" s="44">
        <f>INT(IF(ISERROR(Q21*(R21/S21)),0,Q21*(R21/S21)*L21))</f>
        <v>0</v>
      </c>
      <c r="U21" s="44">
        <f>V21*100</f>
        <v>100</v>
      </c>
      <c r="V21" s="45">
        <f>V20</f>
        <v>1</v>
      </c>
      <c r="W21" s="44">
        <f>IF(T21*V21/100&gt;U21,T21*(1+V21/100),T21+U21)</f>
        <v>100</v>
      </c>
      <c r="X21" s="381"/>
      <c r="Y21" s="43"/>
      <c r="Z21" s="5">
        <f>INT(W21*Y21)</f>
        <v>0</v>
      </c>
    </row>
    <row r="22" spans="1:26" ht="19.5" customHeight="1" thickBot="1">
      <c r="A22" s="80"/>
      <c r="B22" s="184"/>
      <c r="C22" s="188"/>
      <c r="D22" s="186"/>
      <c r="E22" s="186"/>
      <c r="F22" s="186"/>
      <c r="G22" s="187"/>
      <c r="H22" s="177"/>
      <c r="I22" s="42"/>
      <c r="J22" s="42"/>
      <c r="K22" s="44"/>
      <c r="L22" s="42"/>
      <c r="M22" s="43"/>
      <c r="N22" s="40"/>
      <c r="O22" s="74"/>
      <c r="P22" s="147"/>
      <c r="Q22" s="44"/>
      <c r="R22" s="42"/>
      <c r="S22" s="42"/>
      <c r="T22" s="44"/>
      <c r="U22" s="44"/>
      <c r="V22" s="45"/>
      <c r="W22" s="44"/>
      <c r="X22" s="387"/>
      <c r="Y22" s="133"/>
      <c r="Z22" s="5"/>
    </row>
    <row r="23" spans="1:26" ht="19.5" customHeight="1" thickTop="1" thickBot="1">
      <c r="A23" s="73"/>
      <c r="B23" s="184"/>
      <c r="C23" s="188"/>
      <c r="D23" s="186"/>
      <c r="E23" s="186"/>
      <c r="F23" s="186"/>
      <c r="G23" s="187"/>
      <c r="H23" s="177"/>
      <c r="I23" s="42"/>
      <c r="J23" s="42"/>
      <c r="K23" s="44"/>
      <c r="L23" s="42"/>
      <c r="M23" s="43"/>
      <c r="N23" s="40"/>
      <c r="O23" s="74"/>
      <c r="P23" s="147"/>
      <c r="Q23" s="44"/>
      <c r="R23" s="42"/>
      <c r="S23" s="42"/>
      <c r="T23" s="44"/>
      <c r="U23" s="44"/>
      <c r="V23" s="45"/>
      <c r="W23" s="324">
        <f>ROUNDUP(SUM(W17:W21)/250,0)*250</f>
        <v>500</v>
      </c>
      <c r="X23" s="388">
        <v>75.5</v>
      </c>
      <c r="Y23" s="326">
        <v>145</v>
      </c>
      <c r="Z23" s="11">
        <f>ROUND(W23*X23*Y23/1000,0)</f>
        <v>5474</v>
      </c>
    </row>
    <row r="24" spans="1:26" ht="19.5" customHeight="1" thickTop="1" thickBot="1">
      <c r="A24" s="189"/>
      <c r="B24" s="190"/>
      <c r="C24" s="191"/>
      <c r="D24" s="191"/>
      <c r="E24" s="191"/>
      <c r="F24" s="308" t="s">
        <v>18</v>
      </c>
      <c r="G24" s="193">
        <f>G17+G18+G19+G20+G21+G23</f>
        <v>0</v>
      </c>
      <c r="H24" s="203" t="s">
        <v>49</v>
      </c>
      <c r="I24" s="191"/>
      <c r="J24" s="191"/>
      <c r="K24" s="191"/>
      <c r="L24" s="191"/>
      <c r="M24" s="192" t="s">
        <v>18</v>
      </c>
      <c r="N24" s="193">
        <f>INT(N17+N18+N19+N20+N21+N23)</f>
        <v>0</v>
      </c>
      <c r="O24" s="194"/>
      <c r="P24" s="191"/>
      <c r="Q24" s="191"/>
      <c r="R24" s="191" t="s">
        <v>50</v>
      </c>
      <c r="S24" s="191"/>
      <c r="T24" s="191"/>
      <c r="U24" s="191"/>
      <c r="V24" s="191"/>
      <c r="W24" s="191"/>
      <c r="X24" s="389"/>
      <c r="Y24" s="325" t="s">
        <v>18</v>
      </c>
      <c r="Z24" s="195">
        <f>INT(SUM(Z17:Z23))</f>
        <v>5474</v>
      </c>
    </row>
    <row r="25" spans="1:26" ht="19.5" customHeight="1" thickTop="1" thickBot="1">
      <c r="A25" s="95" t="s">
        <v>30</v>
      </c>
      <c r="B25" s="96" t="s">
        <v>21</v>
      </c>
      <c r="C25" s="6">
        <f>A27+A29</f>
        <v>4</v>
      </c>
      <c r="D25" s="2"/>
      <c r="E25" s="2"/>
      <c r="F25" s="334"/>
      <c r="G25" s="3">
        <f>C25*F25</f>
        <v>0</v>
      </c>
      <c r="H25" s="97" t="s">
        <v>31</v>
      </c>
      <c r="I25" s="18">
        <v>1</v>
      </c>
      <c r="J25" s="18">
        <f>(A27+A29)+1</f>
        <v>5</v>
      </c>
      <c r="K25" s="2">
        <f>INT($T$25*$I$25)</f>
        <v>500</v>
      </c>
      <c r="L25" s="19"/>
      <c r="M25" s="15" t="e">
        <f ca="1">fcaz(K25)</f>
        <v>#NAME?</v>
      </c>
      <c r="N25" s="40" t="e">
        <f ca="1">IF(M25&gt;50,INT(J25*M25),INT(J25*K25*M25))</f>
        <v>#NAME?</v>
      </c>
      <c r="O25" s="98" t="s">
        <v>32</v>
      </c>
      <c r="P25" s="99"/>
      <c r="Q25" s="19">
        <f>$M$1</f>
        <v>3000</v>
      </c>
      <c r="R25" s="18">
        <v>1</v>
      </c>
      <c r="S25" s="18">
        <v>6</v>
      </c>
      <c r="T25" s="46">
        <f>INT(IF(ISERROR($Q$25*(R25/S25)),0,$Q$25*(R25/S25)))</f>
        <v>500</v>
      </c>
      <c r="U25" s="46">
        <f>V25*100</f>
        <v>500</v>
      </c>
      <c r="V25" s="30">
        <f>(A27+A29)+1</f>
        <v>5</v>
      </c>
      <c r="W25" s="319">
        <f>IF(T25*V25/100&gt;U25,T25*(1+V25/100),T25+U25)</f>
        <v>1000</v>
      </c>
      <c r="X25" s="383">
        <v>110</v>
      </c>
      <c r="Y25" s="318">
        <v>140</v>
      </c>
      <c r="Z25" s="320">
        <f>ROUND(W25*X25*Y25/1000,0)</f>
        <v>15400</v>
      </c>
    </row>
    <row r="26" spans="1:26" ht="19.5" customHeight="1" thickTop="1">
      <c r="A26" s="100"/>
      <c r="B26" s="79" t="s">
        <v>33</v>
      </c>
      <c r="C26" s="14">
        <v>5</v>
      </c>
      <c r="D26" s="31">
        <v>50</v>
      </c>
      <c r="E26" s="44" t="s">
        <v>34</v>
      </c>
      <c r="F26" s="174"/>
      <c r="G26" s="5">
        <f>C26*F26</f>
        <v>0</v>
      </c>
      <c r="H26" s="66"/>
      <c r="I26" s="7"/>
      <c r="J26" s="4"/>
      <c r="K26" s="4">
        <f>K25</f>
        <v>500</v>
      </c>
      <c r="L26" s="4"/>
      <c r="M26" s="29"/>
      <c r="N26" s="5">
        <f>K26*M26</f>
        <v>0</v>
      </c>
      <c r="O26" s="101"/>
      <c r="P26" s="102"/>
      <c r="Q26" s="44"/>
      <c r="R26" s="44"/>
      <c r="S26" s="44"/>
      <c r="T26" s="44"/>
      <c r="U26" s="44"/>
      <c r="V26" s="45"/>
      <c r="W26" s="44"/>
      <c r="X26" s="390"/>
      <c r="Y26" s="321"/>
      <c r="Z26" s="40"/>
    </row>
    <row r="27" spans="1:26" ht="19.5" customHeight="1">
      <c r="A27" s="80">
        <f>新刊!A27</f>
        <v>4</v>
      </c>
      <c r="B27" s="79" t="s">
        <v>35</v>
      </c>
      <c r="C27" s="7"/>
      <c r="D27" s="21"/>
      <c r="E27" s="14"/>
      <c r="F27" s="17"/>
      <c r="G27" s="5">
        <f>E27*F27</f>
        <v>0</v>
      </c>
      <c r="H27" s="103"/>
      <c r="I27" s="31"/>
      <c r="J27" s="34"/>
      <c r="K27" s="17">
        <f>Q25</f>
        <v>3000</v>
      </c>
      <c r="L27" s="17"/>
      <c r="M27" s="29"/>
      <c r="N27" s="16">
        <f>K27*M27</f>
        <v>0</v>
      </c>
      <c r="O27" s="104"/>
      <c r="P27" s="105"/>
      <c r="Q27" s="44"/>
      <c r="R27" s="44"/>
      <c r="S27" s="44"/>
      <c r="T27" s="44"/>
      <c r="U27" s="44"/>
      <c r="V27" s="45"/>
      <c r="W27" s="44"/>
      <c r="X27" s="391"/>
      <c r="Y27" s="43"/>
      <c r="Z27" s="40"/>
    </row>
    <row r="28" spans="1:26" ht="19.5" customHeight="1">
      <c r="A28" s="80" t="str">
        <f>新刊!A28</f>
        <v>×</v>
      </c>
      <c r="B28" s="63" t="s">
        <v>24</v>
      </c>
      <c r="C28" s="7">
        <f>A27+A29</f>
        <v>4</v>
      </c>
      <c r="D28" s="21"/>
      <c r="E28" s="17"/>
      <c r="F28" s="17">
        <f>新刊!F28</f>
        <v>2500</v>
      </c>
      <c r="G28" s="5">
        <f>C28*F28</f>
        <v>10000</v>
      </c>
      <c r="H28" s="66"/>
      <c r="I28" s="12"/>
      <c r="J28" s="21"/>
      <c r="K28" s="4"/>
      <c r="L28" s="4"/>
      <c r="M28" s="29"/>
      <c r="N28" s="16">
        <v>50000</v>
      </c>
      <c r="O28" s="74"/>
      <c r="P28" s="105"/>
      <c r="Q28" s="44"/>
      <c r="R28" s="42"/>
      <c r="S28" s="42"/>
      <c r="T28" s="44"/>
      <c r="U28" s="44"/>
      <c r="V28" s="45"/>
      <c r="W28" s="44"/>
      <c r="X28" s="391"/>
      <c r="Y28" s="43"/>
      <c r="Z28" s="40"/>
    </row>
    <row r="29" spans="1:26" ht="19.5" customHeight="1" thickBot="1">
      <c r="A29" s="82">
        <f>新刊!A29</f>
        <v>0</v>
      </c>
      <c r="B29" s="106"/>
      <c r="C29" s="107"/>
      <c r="D29" s="108"/>
      <c r="E29" s="109"/>
      <c r="F29" s="110" t="s">
        <v>18</v>
      </c>
      <c r="G29" s="9">
        <f>SUM(G25:G28)</f>
        <v>10000</v>
      </c>
      <c r="H29" s="201" t="s">
        <v>36</v>
      </c>
      <c r="I29" s="111"/>
      <c r="J29" s="112"/>
      <c r="K29" s="113"/>
      <c r="L29" s="114"/>
      <c r="M29" s="110" t="s">
        <v>18</v>
      </c>
      <c r="N29" s="47" t="e">
        <f ca="1">INT(SUM(N25:N28))</f>
        <v>#NAME?</v>
      </c>
      <c r="O29" s="115"/>
      <c r="P29" s="116"/>
      <c r="Q29" s="117"/>
      <c r="R29" s="114"/>
      <c r="S29" s="114"/>
      <c r="T29" s="118"/>
      <c r="U29" s="118"/>
      <c r="V29" s="114"/>
      <c r="W29" s="118"/>
      <c r="X29" s="392"/>
      <c r="Y29" s="119" t="s">
        <v>18</v>
      </c>
      <c r="Z29" s="47">
        <f>INT(SUM(Z25:Z28))</f>
        <v>15400</v>
      </c>
    </row>
    <row r="30" spans="1:26" ht="19.5" customHeight="1" thickTop="1" thickBot="1">
      <c r="A30" s="121" t="s">
        <v>39</v>
      </c>
      <c r="B30" s="96" t="s">
        <v>21</v>
      </c>
      <c r="C30" s="6">
        <f>A31+A33</f>
        <v>2</v>
      </c>
      <c r="D30" s="22"/>
      <c r="E30" s="46"/>
      <c r="F30" s="334"/>
      <c r="G30" s="3">
        <f>C30*F30</f>
        <v>0</v>
      </c>
      <c r="H30" s="97" t="s">
        <v>40</v>
      </c>
      <c r="I30" s="18">
        <v>2</v>
      </c>
      <c r="J30" s="35">
        <f>A31+A33-J31</f>
        <v>1</v>
      </c>
      <c r="K30" s="2">
        <f>INT($T$30*$I$30)</f>
        <v>200</v>
      </c>
      <c r="L30" s="2"/>
      <c r="M30" s="15" t="e">
        <f ca="1">fcaz(K30)</f>
        <v>#NAME?</v>
      </c>
      <c r="N30" s="3" t="e">
        <f ca="1">IF($K$30&lt;=5091,INT($J$30*$M$30),INT($J$30*$K$30*$M$30))</f>
        <v>#NAME?</v>
      </c>
      <c r="O30" s="98" t="s">
        <v>41</v>
      </c>
      <c r="P30" s="120"/>
      <c r="Q30" s="19">
        <f>$M$2</f>
        <v>2000</v>
      </c>
      <c r="R30" s="18">
        <v>1</v>
      </c>
      <c r="S30" s="18">
        <v>20</v>
      </c>
      <c r="T30" s="46">
        <f>INT(IF(ISERROR($Q$30*(R30/S30)),0,$Q$30*(R30/S30)))</f>
        <v>100</v>
      </c>
      <c r="U30" s="46">
        <f>V30*100</f>
        <v>300</v>
      </c>
      <c r="V30" s="30">
        <f>(A31+A33)+1</f>
        <v>3</v>
      </c>
      <c r="W30" s="322">
        <f>IF(T30*V30/100&gt;U30,T30*(1+V30/100),T30+U30)</f>
        <v>400</v>
      </c>
      <c r="X30" s="383">
        <v>110</v>
      </c>
      <c r="Y30" s="318">
        <v>140</v>
      </c>
      <c r="Z30" s="320">
        <f>ROUND(W30*X30*Y30/1000,0)</f>
        <v>6160</v>
      </c>
    </row>
    <row r="31" spans="1:26" ht="19.5" customHeight="1" thickTop="1">
      <c r="A31" s="80">
        <f>新刊!A31</f>
        <v>2</v>
      </c>
      <c r="B31" s="63" t="s">
        <v>24</v>
      </c>
      <c r="C31" s="7">
        <f>A31+A33</f>
        <v>2</v>
      </c>
      <c r="D31" s="21"/>
      <c r="E31" s="44"/>
      <c r="F31" s="174">
        <f>新刊!F31</f>
        <v>2000</v>
      </c>
      <c r="G31" s="5">
        <f>C31*F31</f>
        <v>4000</v>
      </c>
      <c r="H31" s="66" t="s">
        <v>42</v>
      </c>
      <c r="I31" s="12"/>
      <c r="J31" s="14">
        <v>1</v>
      </c>
      <c r="K31" s="4">
        <f>$K$30</f>
        <v>200</v>
      </c>
      <c r="L31" s="4"/>
      <c r="M31" s="15" t="e">
        <f ca="1">fcaz(K31)</f>
        <v>#NAME?</v>
      </c>
      <c r="N31" s="5" t="e">
        <f ca="1">IF($K$30&lt;=5091,INT($J$31*$M$31),INT($J$31*$K$31*$M$31))</f>
        <v>#NAME?</v>
      </c>
      <c r="O31" s="123"/>
      <c r="P31" s="102"/>
      <c r="Q31" s="44"/>
      <c r="R31" s="44"/>
      <c r="S31" s="44"/>
      <c r="T31" s="44"/>
      <c r="U31" s="44"/>
      <c r="V31" s="45"/>
      <c r="W31" s="44"/>
      <c r="X31" s="390"/>
      <c r="Y31" s="321"/>
      <c r="Z31" s="40"/>
    </row>
    <row r="32" spans="1:26" ht="19.5" customHeight="1">
      <c r="A32" s="80" t="str">
        <f>新刊!A32</f>
        <v>×</v>
      </c>
      <c r="B32" s="124"/>
      <c r="C32" s="125"/>
      <c r="D32" s="33"/>
      <c r="E32" s="126"/>
      <c r="F32" s="32"/>
      <c r="G32" s="127"/>
      <c r="H32" s="128"/>
      <c r="I32" s="23"/>
      <c r="J32" s="24"/>
      <c r="K32" s="36"/>
      <c r="L32" s="25"/>
      <c r="M32" s="37"/>
      <c r="N32" s="26">
        <f>INT(K32*M32)</f>
        <v>0</v>
      </c>
      <c r="O32" s="129"/>
      <c r="P32" s="130"/>
      <c r="Q32" s="131"/>
      <c r="R32" s="131"/>
      <c r="S32" s="131"/>
      <c r="T32" s="131"/>
      <c r="U32" s="131"/>
      <c r="V32" s="132"/>
      <c r="W32" s="131"/>
      <c r="X32" s="393"/>
      <c r="Y32" s="133"/>
      <c r="Z32" s="134"/>
    </row>
    <row r="33" spans="1:26" ht="19.5" customHeight="1" thickBot="1">
      <c r="A33" s="82">
        <f>新刊!A33</f>
        <v>0</v>
      </c>
      <c r="B33" s="135"/>
      <c r="C33" s="136"/>
      <c r="D33" s="136"/>
      <c r="E33" s="136"/>
      <c r="F33" s="94" t="s">
        <v>18</v>
      </c>
      <c r="G33" s="8">
        <f>G30+G31+D32+F32</f>
        <v>4000</v>
      </c>
      <c r="H33" s="202" t="s">
        <v>43</v>
      </c>
      <c r="I33" s="138"/>
      <c r="J33" s="136"/>
      <c r="K33" s="139"/>
      <c r="L33" s="140"/>
      <c r="M33" s="141" t="s">
        <v>18</v>
      </c>
      <c r="N33" s="10" t="e">
        <f ca="1">INT(SUM(N30:N32))</f>
        <v>#NAME?</v>
      </c>
      <c r="O33" s="142"/>
      <c r="P33" s="136"/>
      <c r="Q33" s="136"/>
      <c r="R33" s="143"/>
      <c r="S33" s="144"/>
      <c r="T33" s="136"/>
      <c r="U33" s="136"/>
      <c r="V33" s="136"/>
      <c r="W33" s="136"/>
      <c r="X33" s="394"/>
      <c r="Y33" s="94" t="s">
        <v>18</v>
      </c>
      <c r="Z33" s="41">
        <f>INT(SUM(Z30:Z32))</f>
        <v>6160</v>
      </c>
    </row>
    <row r="34" spans="1:26" ht="19.5" customHeight="1" thickTop="1" thickBot="1">
      <c r="A34" s="145" t="s">
        <v>44</v>
      </c>
      <c r="B34" s="96" t="s">
        <v>21</v>
      </c>
      <c r="C34" s="146">
        <f>$A$35+$A$37</f>
        <v>1</v>
      </c>
      <c r="D34" s="147"/>
      <c r="E34" s="147"/>
      <c r="F34" s="148">
        <f>新刊!F34</f>
        <v>3500</v>
      </c>
      <c r="G34" s="149">
        <f>C34*F34</f>
        <v>3500</v>
      </c>
      <c r="H34" s="128" t="s">
        <v>45</v>
      </c>
      <c r="I34" s="150">
        <v>1</v>
      </c>
      <c r="J34" s="151">
        <f>A35+A37</f>
        <v>1</v>
      </c>
      <c r="K34" s="2">
        <f>INT($T$34*$I$34)</f>
        <v>291</v>
      </c>
      <c r="L34" s="152"/>
      <c r="M34" s="15" t="e">
        <f ca="1">fcaz(K34)</f>
        <v>#NAME?</v>
      </c>
      <c r="N34" s="3" t="e">
        <f ca="1">IF($K$34&lt;=5000,INT($J$34*$M$34),INT($J$34*$M$34*$K$34))</f>
        <v>#NAME?</v>
      </c>
      <c r="O34" s="153" t="s">
        <v>46</v>
      </c>
      <c r="P34" s="147"/>
      <c r="Q34" s="154">
        <f>$D$1</f>
        <v>3500</v>
      </c>
      <c r="R34" s="155">
        <v>1</v>
      </c>
      <c r="S34" s="156">
        <v>12</v>
      </c>
      <c r="T34" s="2">
        <f>INT(IF(ISERROR($Q$34*(R34/S34)),0,$Q$34*(R34/S34)))</f>
        <v>291</v>
      </c>
      <c r="U34" s="46">
        <f>V34*100</f>
        <v>200</v>
      </c>
      <c r="V34" s="30">
        <f>(A35+A37)+1</f>
        <v>2</v>
      </c>
      <c r="W34" s="319">
        <f>IF(T34*V34/100&gt;U34,T34*(1+V34/100),T34+U34)</f>
        <v>491</v>
      </c>
      <c r="X34" s="383">
        <v>110</v>
      </c>
      <c r="Y34" s="318">
        <v>140</v>
      </c>
      <c r="Z34" s="320">
        <f>ROUND(W34*X34*Y34/1000,0)</f>
        <v>7561</v>
      </c>
    </row>
    <row r="35" spans="1:26" ht="19.5" customHeight="1" thickTop="1">
      <c r="A35" s="80">
        <f>新刊!A35</f>
        <v>1</v>
      </c>
      <c r="B35" s="63" t="s">
        <v>24</v>
      </c>
      <c r="C35" s="146">
        <f>$A$35+$A$37</f>
        <v>1</v>
      </c>
      <c r="D35" s="147"/>
      <c r="E35" s="147"/>
      <c r="F35" s="174">
        <f>新刊!F35</f>
        <v>2500</v>
      </c>
      <c r="G35" s="149">
        <f>C35*F35</f>
        <v>2500</v>
      </c>
      <c r="H35" s="160"/>
      <c r="I35" s="161"/>
      <c r="J35" s="147"/>
      <c r="K35" s="162"/>
      <c r="L35" s="163"/>
      <c r="M35" s="164"/>
      <c r="N35" s="165"/>
      <c r="O35" s="166"/>
      <c r="P35" s="147"/>
      <c r="Q35" s="167"/>
      <c r="R35" s="168"/>
      <c r="S35" s="169"/>
      <c r="T35" s="147"/>
      <c r="U35" s="147"/>
      <c r="V35" s="147"/>
      <c r="W35" s="170"/>
      <c r="X35" s="395"/>
      <c r="Y35" s="323"/>
      <c r="Z35" s="11"/>
    </row>
    <row r="36" spans="1:26" ht="19.5" customHeight="1">
      <c r="A36" s="80" t="str">
        <f>新刊!A36</f>
        <v>×</v>
      </c>
      <c r="B36" s="124" t="s">
        <v>47</v>
      </c>
      <c r="C36" s="171"/>
      <c r="D36" s="172"/>
      <c r="E36" s="173"/>
      <c r="F36" s="174"/>
      <c r="G36" s="165"/>
      <c r="H36" s="160"/>
      <c r="I36" s="161"/>
      <c r="J36" s="147"/>
      <c r="K36" s="162"/>
      <c r="L36" s="163"/>
      <c r="M36" s="164"/>
      <c r="N36" s="165"/>
      <c r="O36" s="153"/>
      <c r="P36" s="147"/>
      <c r="Q36" s="154"/>
      <c r="R36" s="155"/>
      <c r="S36" s="156"/>
      <c r="T36" s="4"/>
      <c r="U36" s="309"/>
      <c r="V36" s="157"/>
      <c r="W36" s="4"/>
      <c r="X36" s="396"/>
      <c r="Y36" s="158"/>
      <c r="Z36" s="5"/>
    </row>
    <row r="37" spans="1:26" ht="19.5" customHeight="1" thickBot="1">
      <c r="A37" s="82">
        <f>新刊!A37</f>
        <v>0</v>
      </c>
      <c r="B37" s="135"/>
      <c r="C37" s="136"/>
      <c r="D37" s="136"/>
      <c r="E37" s="136"/>
      <c r="F37" s="94" t="s">
        <v>18</v>
      </c>
      <c r="G37" s="8">
        <f>G34+G35+D36+F36</f>
        <v>6000</v>
      </c>
      <c r="H37" s="137"/>
      <c r="I37" s="138"/>
      <c r="J37" s="136"/>
      <c r="K37" s="139"/>
      <c r="L37" s="140"/>
      <c r="M37" s="141" t="s">
        <v>18</v>
      </c>
      <c r="N37" s="10" t="e">
        <f ca="1">INT(SUM(N34:N36))</f>
        <v>#NAME?</v>
      </c>
      <c r="O37" s="142"/>
      <c r="P37" s="136"/>
      <c r="Q37" s="136"/>
      <c r="R37" s="143"/>
      <c r="S37" s="144"/>
      <c r="T37" s="136"/>
      <c r="U37" s="136"/>
      <c r="V37" s="136"/>
      <c r="W37" s="136"/>
      <c r="X37" s="394"/>
      <c r="Y37" s="94" t="s">
        <v>18</v>
      </c>
      <c r="Z37" s="10">
        <f>INT(SUM(Z34:Z36))</f>
        <v>7561</v>
      </c>
    </row>
    <row r="38" spans="1:26" ht="19.5" customHeight="1" thickTop="1" thickBot="1">
      <c r="A38" s="145" t="s">
        <v>152</v>
      </c>
      <c r="B38" s="96" t="s">
        <v>21</v>
      </c>
      <c r="C38" s="146">
        <f>$A$39+$A$41</f>
        <v>1</v>
      </c>
      <c r="D38" s="147"/>
      <c r="E38" s="147"/>
      <c r="F38" s="148">
        <f>新刊!F38</f>
        <v>2500</v>
      </c>
      <c r="G38" s="149">
        <f>C38*F38</f>
        <v>2500</v>
      </c>
      <c r="H38" s="128" t="s">
        <v>153</v>
      </c>
      <c r="I38" s="150">
        <v>1</v>
      </c>
      <c r="J38" s="151">
        <f>A39+A41</f>
        <v>1</v>
      </c>
      <c r="K38" s="2">
        <f>INT($T$34*$I$34)</f>
        <v>291</v>
      </c>
      <c r="L38" s="152"/>
      <c r="M38" s="15" t="e">
        <f ca="1">fcaz(K38)</f>
        <v>#NAME?</v>
      </c>
      <c r="N38" s="3" t="e">
        <f ca="1">IF($K$34&lt;=5000,INT($J$34*$M$34),INT($J$34*$M$34*$K$34))</f>
        <v>#NAME?</v>
      </c>
      <c r="O38" s="153" t="s">
        <v>154</v>
      </c>
      <c r="P38" s="147"/>
      <c r="Q38" s="154">
        <f>$D$1</f>
        <v>3500</v>
      </c>
      <c r="R38" s="155">
        <v>1</v>
      </c>
      <c r="S38" s="156">
        <v>32</v>
      </c>
      <c r="T38" s="2">
        <f>INT(IF(ISERROR($Q$34*(R38/S38)),0,$Q$34*(R38/S38)))</f>
        <v>109</v>
      </c>
      <c r="U38" s="46">
        <f>V38*100</f>
        <v>200</v>
      </c>
      <c r="V38" s="30">
        <f>(A39+A41)+1</f>
        <v>2</v>
      </c>
      <c r="W38" s="319">
        <f>IF(T38*V38/100&gt;U38,T38*(1+V38/100),T38+U38)</f>
        <v>309</v>
      </c>
      <c r="X38" s="383">
        <v>110</v>
      </c>
      <c r="Y38" s="318">
        <v>140</v>
      </c>
      <c r="Z38" s="320">
        <f>ROUND(W38*X38*Y38/1000,0)</f>
        <v>4759</v>
      </c>
    </row>
    <row r="39" spans="1:26" ht="19.5" customHeight="1" thickTop="1">
      <c r="A39" s="80">
        <f>新刊!A39</f>
        <v>1</v>
      </c>
      <c r="B39" s="63" t="s">
        <v>24</v>
      </c>
      <c r="C39" s="146">
        <f>$A$39+$A$41</f>
        <v>1</v>
      </c>
      <c r="D39" s="147"/>
      <c r="E39" s="147"/>
      <c r="F39" s="174">
        <f>新刊!F39</f>
        <v>2200</v>
      </c>
      <c r="G39" s="149">
        <f>C39*F39</f>
        <v>2200</v>
      </c>
      <c r="H39" s="160"/>
      <c r="I39" s="161"/>
      <c r="J39" s="147"/>
      <c r="K39" s="162"/>
      <c r="L39" s="163"/>
      <c r="M39" s="164"/>
      <c r="N39" s="165"/>
      <c r="O39" s="166"/>
      <c r="P39" s="147"/>
      <c r="Q39" s="167"/>
      <c r="R39" s="168"/>
      <c r="S39" s="169"/>
      <c r="T39" s="147"/>
      <c r="U39" s="147"/>
      <c r="V39" s="147"/>
      <c r="W39" s="170"/>
      <c r="X39" s="395"/>
      <c r="Y39" s="323"/>
      <c r="Z39" s="11"/>
    </row>
    <row r="40" spans="1:26" ht="19.5" customHeight="1">
      <c r="A40" s="80" t="str">
        <f>新刊!A40</f>
        <v>×</v>
      </c>
      <c r="B40" s="124" t="s">
        <v>47</v>
      </c>
      <c r="C40" s="171"/>
      <c r="D40" s="172"/>
      <c r="E40" s="173"/>
      <c r="F40" s="174"/>
      <c r="G40" s="165"/>
      <c r="H40" s="160"/>
      <c r="I40" s="161"/>
      <c r="J40" s="147"/>
      <c r="K40" s="162"/>
      <c r="L40" s="163"/>
      <c r="M40" s="164"/>
      <c r="N40" s="165"/>
      <c r="O40" s="153"/>
      <c r="P40" s="147"/>
      <c r="Q40" s="154"/>
      <c r="R40" s="155"/>
      <c r="S40" s="156"/>
      <c r="T40" s="4"/>
      <c r="U40" s="309"/>
      <c r="V40" s="157"/>
      <c r="W40" s="4"/>
      <c r="X40" s="396"/>
      <c r="Y40" s="158"/>
      <c r="Z40" s="5"/>
    </row>
    <row r="41" spans="1:26" ht="19.5" customHeight="1" thickBot="1">
      <c r="A41" s="82">
        <f>新刊!A41</f>
        <v>0</v>
      </c>
      <c r="B41" s="135"/>
      <c r="C41" s="136"/>
      <c r="D41" s="136"/>
      <c r="E41" s="136"/>
      <c r="F41" s="94" t="s">
        <v>18</v>
      </c>
      <c r="G41" s="8">
        <f>G38+G39+D40+F40</f>
        <v>4700</v>
      </c>
      <c r="H41" s="137"/>
      <c r="I41" s="138"/>
      <c r="J41" s="136"/>
      <c r="K41" s="139"/>
      <c r="L41" s="140"/>
      <c r="M41" s="141" t="s">
        <v>18</v>
      </c>
      <c r="N41" s="10" t="e">
        <f ca="1">INT(SUM(N38:N40))</f>
        <v>#NAME?</v>
      </c>
      <c r="O41" s="142"/>
      <c r="P41" s="136"/>
      <c r="Q41" s="136"/>
      <c r="R41" s="143"/>
      <c r="S41" s="144"/>
      <c r="T41" s="136"/>
      <c r="U41" s="136"/>
      <c r="V41" s="136"/>
      <c r="W41" s="136"/>
      <c r="X41" s="394"/>
      <c r="Y41" s="94" t="s">
        <v>18</v>
      </c>
      <c r="Z41" s="10">
        <f>INT(SUM(Z38:Z40))</f>
        <v>4759</v>
      </c>
    </row>
    <row r="42" spans="1:26" ht="19.5" customHeight="1" thickTop="1" thickBot="1">
      <c r="A42" s="145" t="s">
        <v>155</v>
      </c>
      <c r="B42" s="96" t="s">
        <v>21</v>
      </c>
      <c r="C42" s="146">
        <f>$A$43+A45</f>
        <v>0</v>
      </c>
      <c r="D42" s="147"/>
      <c r="E42" s="147"/>
      <c r="F42" s="148">
        <f>新刊!F42</f>
        <v>2500</v>
      </c>
      <c r="G42" s="149">
        <f>C42*F42</f>
        <v>0</v>
      </c>
      <c r="H42" s="128" t="s">
        <v>156</v>
      </c>
      <c r="I42" s="150">
        <v>1</v>
      </c>
      <c r="J42" s="151">
        <f>A43+A45</f>
        <v>0</v>
      </c>
      <c r="K42" s="2">
        <f>INT($T$34*$I$34)</f>
        <v>291</v>
      </c>
      <c r="L42" s="152"/>
      <c r="M42" s="15" t="e">
        <f ca="1">fcaz(K42)</f>
        <v>#NAME?</v>
      </c>
      <c r="N42" s="3" t="e">
        <f ca="1">IF($K$34&lt;=5000,INT($J$34*$M$34),INT($J$34*$M$34*$K$34))</f>
        <v>#NAME?</v>
      </c>
      <c r="O42" s="153" t="s">
        <v>157</v>
      </c>
      <c r="P42" s="147"/>
      <c r="Q42" s="154">
        <f>$D$1</f>
        <v>3500</v>
      </c>
      <c r="R42" s="155">
        <v>1</v>
      </c>
      <c r="S42" s="156">
        <v>32</v>
      </c>
      <c r="T42" s="2">
        <f>INT(IF(ISERROR($Q$34*(R42/S42)),0,$Q$34*(R42/S42)))</f>
        <v>109</v>
      </c>
      <c r="U42" s="46">
        <f>V42*100</f>
        <v>100</v>
      </c>
      <c r="V42" s="30">
        <f>(A43+A45)+1</f>
        <v>1</v>
      </c>
      <c r="W42" s="319">
        <f>IF(T42*V42/100&gt;U42,T42*(1+V42/100),T42+U42)</f>
        <v>209</v>
      </c>
      <c r="X42" s="383">
        <v>110</v>
      </c>
      <c r="Y42" s="318">
        <v>140</v>
      </c>
      <c r="Z42" s="320">
        <f>ROUND(W42*X42*Y42/1000,0)</f>
        <v>3219</v>
      </c>
    </row>
    <row r="43" spans="1:26" ht="19.5" customHeight="1" thickTop="1">
      <c r="A43" s="80">
        <f>新刊!A43</f>
        <v>0</v>
      </c>
      <c r="B43" s="63" t="s">
        <v>24</v>
      </c>
      <c r="C43" s="146">
        <f>$A$43+A45</f>
        <v>0</v>
      </c>
      <c r="D43" s="147"/>
      <c r="E43" s="147"/>
      <c r="F43" s="174">
        <f>新刊!F43</f>
        <v>2200</v>
      </c>
      <c r="G43" s="149">
        <f>C43*F43</f>
        <v>0</v>
      </c>
      <c r="H43" s="160"/>
      <c r="I43" s="161"/>
      <c r="J43" s="147"/>
      <c r="K43" s="162"/>
      <c r="L43" s="163"/>
      <c r="M43" s="164"/>
      <c r="N43" s="165"/>
      <c r="O43" s="166"/>
      <c r="P43" s="147"/>
      <c r="Q43" s="167"/>
      <c r="R43" s="168"/>
      <c r="S43" s="169"/>
      <c r="T43" s="147"/>
      <c r="U43" s="147"/>
      <c r="V43" s="147"/>
      <c r="W43" s="170"/>
      <c r="X43" s="395"/>
      <c r="Y43" s="323"/>
      <c r="Z43" s="11"/>
    </row>
    <row r="44" spans="1:26" ht="19.5" customHeight="1">
      <c r="A44" s="80" t="str">
        <f>新刊!A44</f>
        <v>×</v>
      </c>
      <c r="B44" s="124" t="s">
        <v>47</v>
      </c>
      <c r="C44" s="171"/>
      <c r="D44" s="172"/>
      <c r="E44" s="173"/>
      <c r="F44" s="174"/>
      <c r="G44" s="165"/>
      <c r="H44" s="160"/>
      <c r="I44" s="161"/>
      <c r="J44" s="147"/>
      <c r="K44" s="162"/>
      <c r="L44" s="163"/>
      <c r="M44" s="164"/>
      <c r="N44" s="165"/>
      <c r="O44" s="153"/>
      <c r="P44" s="147"/>
      <c r="Q44" s="154"/>
      <c r="R44" s="155"/>
      <c r="S44" s="156"/>
      <c r="T44" s="4"/>
      <c r="U44" s="309"/>
      <c r="V44" s="157"/>
      <c r="W44" s="4"/>
      <c r="X44" s="396"/>
      <c r="Y44" s="158"/>
      <c r="Z44" s="5"/>
    </row>
    <row r="45" spans="1:26" ht="19.5" customHeight="1" thickBot="1">
      <c r="A45" s="82">
        <f>新刊!A45</f>
        <v>0</v>
      </c>
      <c r="B45" s="135"/>
      <c r="C45" s="136"/>
      <c r="D45" s="136"/>
      <c r="E45" s="136"/>
      <c r="F45" s="94" t="s">
        <v>18</v>
      </c>
      <c r="G45" s="8">
        <f>G42+G43+D44+F44</f>
        <v>0</v>
      </c>
      <c r="H45" s="137"/>
      <c r="I45" s="138"/>
      <c r="J45" s="136"/>
      <c r="K45" s="139"/>
      <c r="L45" s="140"/>
      <c r="M45" s="141" t="s">
        <v>18</v>
      </c>
      <c r="N45" s="10" t="e">
        <f ca="1">INT(SUM(N42:N44))</f>
        <v>#NAME?</v>
      </c>
      <c r="O45" s="142"/>
      <c r="P45" s="136"/>
      <c r="Q45" s="136"/>
      <c r="R45" s="143"/>
      <c r="S45" s="144"/>
      <c r="T45" s="136"/>
      <c r="U45" s="136"/>
      <c r="V45" s="136"/>
      <c r="W45" s="136"/>
      <c r="X45" s="394"/>
      <c r="Y45" s="94" t="s">
        <v>18</v>
      </c>
      <c r="Z45" s="10">
        <f>INT(SUM(Z42:Z44))</f>
        <v>3219</v>
      </c>
    </row>
    <row r="46" spans="1:26" ht="19.5" customHeight="1" thickTop="1" thickBot="1">
      <c r="A46" s="145"/>
      <c r="B46" s="96" t="s">
        <v>21</v>
      </c>
      <c r="C46" s="146">
        <f>$A$47+$A$49</f>
        <v>0</v>
      </c>
      <c r="D46" s="147"/>
      <c r="E46" s="147"/>
      <c r="F46" s="148">
        <f>新刊!F46</f>
        <v>0</v>
      </c>
      <c r="G46" s="149">
        <f>C46*F46</f>
        <v>0</v>
      </c>
      <c r="H46" s="128"/>
      <c r="I46" s="150">
        <v>1</v>
      </c>
      <c r="J46" s="151">
        <f>A47+A49</f>
        <v>0</v>
      </c>
      <c r="K46" s="2"/>
      <c r="L46" s="152"/>
      <c r="M46" s="15"/>
      <c r="N46" s="3"/>
      <c r="O46" s="153"/>
      <c r="P46" s="147"/>
      <c r="Q46" s="154"/>
      <c r="R46" s="155"/>
      <c r="S46" s="156"/>
      <c r="T46" s="2"/>
      <c r="U46" s="46"/>
      <c r="V46" s="30"/>
      <c r="W46" s="319"/>
      <c r="X46" s="383"/>
      <c r="Y46" s="318"/>
      <c r="Z46" s="320"/>
    </row>
    <row r="47" spans="1:26" ht="19.5" customHeight="1" thickTop="1">
      <c r="A47" s="122"/>
      <c r="B47" s="63" t="s">
        <v>24</v>
      </c>
      <c r="C47" s="146">
        <f>$A$47+$A$49</f>
        <v>0</v>
      </c>
      <c r="D47" s="147"/>
      <c r="E47" s="147"/>
      <c r="F47" s="174">
        <f>新刊!F47</f>
        <v>0</v>
      </c>
      <c r="G47" s="149">
        <f>C47*F47</f>
        <v>0</v>
      </c>
      <c r="H47" s="160"/>
      <c r="I47" s="161"/>
      <c r="J47" s="147"/>
      <c r="K47" s="162"/>
      <c r="L47" s="163"/>
      <c r="M47" s="164"/>
      <c r="N47" s="165"/>
      <c r="O47" s="166"/>
      <c r="P47" s="147"/>
      <c r="Q47" s="167"/>
      <c r="R47" s="168"/>
      <c r="S47" s="169"/>
      <c r="T47" s="147"/>
      <c r="U47" s="147"/>
      <c r="V47" s="147"/>
      <c r="W47" s="170"/>
      <c r="X47" s="395"/>
      <c r="Y47" s="323"/>
      <c r="Z47" s="11"/>
    </row>
    <row r="48" spans="1:26" ht="19.5" customHeight="1">
      <c r="A48" s="81" t="s">
        <v>27</v>
      </c>
      <c r="B48" s="124" t="s">
        <v>47</v>
      </c>
      <c r="C48" s="171"/>
      <c r="D48" s="172"/>
      <c r="E48" s="173"/>
      <c r="F48" s="174"/>
      <c r="G48" s="165"/>
      <c r="H48" s="160"/>
      <c r="I48" s="161"/>
      <c r="J48" s="147"/>
      <c r="K48" s="162"/>
      <c r="L48" s="163"/>
      <c r="M48" s="164"/>
      <c r="N48" s="165"/>
      <c r="O48" s="153"/>
      <c r="P48" s="147"/>
      <c r="Q48" s="154"/>
      <c r="R48" s="155"/>
      <c r="S48" s="156"/>
      <c r="T48" s="4"/>
      <c r="U48" s="309"/>
      <c r="V48" s="157"/>
      <c r="W48" s="4"/>
      <c r="X48" s="396"/>
      <c r="Y48" s="158"/>
      <c r="Z48" s="5"/>
    </row>
    <row r="49" spans="1:28" ht="19.5" customHeight="1" thickBot="1">
      <c r="A49" s="82"/>
      <c r="B49" s="135"/>
      <c r="C49" s="136"/>
      <c r="D49" s="136"/>
      <c r="E49" s="136"/>
      <c r="F49" s="94" t="s">
        <v>18</v>
      </c>
      <c r="G49" s="8">
        <f>G46+G47+D48+F48</f>
        <v>0</v>
      </c>
      <c r="H49" s="137"/>
      <c r="I49" s="138"/>
      <c r="J49" s="136"/>
      <c r="K49" s="139"/>
      <c r="L49" s="140"/>
      <c r="M49" s="141" t="s">
        <v>18</v>
      </c>
      <c r="N49" s="8">
        <f>N46+N47+K48+M48</f>
        <v>0</v>
      </c>
      <c r="O49" s="142"/>
      <c r="P49" s="136"/>
      <c r="Q49" s="136"/>
      <c r="R49" s="143"/>
      <c r="S49" s="144"/>
      <c r="T49" s="136"/>
      <c r="U49" s="136"/>
      <c r="V49" s="136"/>
      <c r="W49" s="136"/>
      <c r="X49" s="394"/>
      <c r="Y49" s="94" t="s">
        <v>18</v>
      </c>
      <c r="Z49" s="10">
        <f>INT(SUM(Z46:Z48))</f>
        <v>0</v>
      </c>
    </row>
    <row r="50" spans="1:28" ht="19.5" customHeight="1" thickTop="1" thickBot="1">
      <c r="A50" s="145"/>
      <c r="B50" s="96" t="s">
        <v>21</v>
      </c>
      <c r="C50" s="146">
        <f>$A$51+$A$53</f>
        <v>0</v>
      </c>
      <c r="D50" s="147"/>
      <c r="E50" s="147"/>
      <c r="F50" s="148">
        <f>新刊!F50</f>
        <v>0</v>
      </c>
      <c r="G50" s="149">
        <f>C50*F50</f>
        <v>0</v>
      </c>
      <c r="H50" s="128"/>
      <c r="I50" s="150">
        <v>1</v>
      </c>
      <c r="J50" s="151">
        <f>A51+A53</f>
        <v>0</v>
      </c>
      <c r="K50" s="2"/>
      <c r="L50" s="152"/>
      <c r="M50" s="15"/>
      <c r="N50" s="3"/>
      <c r="O50" s="153"/>
      <c r="P50" s="147"/>
      <c r="Q50" s="154"/>
      <c r="R50" s="155"/>
      <c r="S50" s="156"/>
      <c r="T50" s="2"/>
      <c r="U50" s="46"/>
      <c r="V50" s="30"/>
      <c r="W50" s="319"/>
      <c r="X50" s="383"/>
      <c r="Y50" s="318"/>
      <c r="Z50" s="320"/>
    </row>
    <row r="51" spans="1:28" ht="19.5" customHeight="1" thickTop="1">
      <c r="A51" s="122"/>
      <c r="B51" s="63" t="s">
        <v>24</v>
      </c>
      <c r="C51" s="146">
        <f>$A$51+$A$53</f>
        <v>0</v>
      </c>
      <c r="D51" s="147"/>
      <c r="E51" s="147"/>
      <c r="F51" s="174">
        <f>新刊!F51</f>
        <v>0</v>
      </c>
      <c r="G51" s="149">
        <f>C51*F51</f>
        <v>0</v>
      </c>
      <c r="H51" s="160"/>
      <c r="I51" s="161"/>
      <c r="J51" s="147"/>
      <c r="K51" s="162"/>
      <c r="L51" s="163"/>
      <c r="M51" s="164"/>
      <c r="N51" s="165"/>
      <c r="O51" s="166"/>
      <c r="P51" s="147"/>
      <c r="Q51" s="167"/>
      <c r="R51" s="168"/>
      <c r="S51" s="169"/>
      <c r="T51" s="147"/>
      <c r="U51" s="147"/>
      <c r="V51" s="147"/>
      <c r="W51" s="170"/>
      <c r="X51" s="395"/>
      <c r="Y51" s="323"/>
      <c r="Z51" s="11"/>
    </row>
    <row r="52" spans="1:28" ht="19.5" customHeight="1">
      <c r="A52" s="81" t="s">
        <v>27</v>
      </c>
      <c r="B52" s="124" t="s">
        <v>47</v>
      </c>
      <c r="C52" s="171"/>
      <c r="D52" s="172"/>
      <c r="E52" s="173"/>
      <c r="F52" s="174"/>
      <c r="G52" s="165"/>
      <c r="H52" s="160"/>
      <c r="I52" s="161"/>
      <c r="J52" s="147"/>
      <c r="K52" s="162"/>
      <c r="L52" s="163"/>
      <c r="M52" s="164"/>
      <c r="N52" s="165"/>
      <c r="O52" s="153"/>
      <c r="P52" s="147"/>
      <c r="Q52" s="154"/>
      <c r="R52" s="155"/>
      <c r="S52" s="156"/>
      <c r="T52" s="4"/>
      <c r="U52" s="309"/>
      <c r="V52" s="157"/>
      <c r="W52" s="4"/>
      <c r="X52" s="396"/>
      <c r="Y52" s="158"/>
      <c r="Z52" s="5"/>
    </row>
    <row r="53" spans="1:28" ht="19.5" customHeight="1" thickBot="1">
      <c r="A53" s="82"/>
      <c r="B53" s="135"/>
      <c r="C53" s="136"/>
      <c r="D53" s="136"/>
      <c r="E53" s="136"/>
      <c r="F53" s="94" t="s">
        <v>18</v>
      </c>
      <c r="G53" s="8">
        <f>G50+G51+D52+F52</f>
        <v>0</v>
      </c>
      <c r="H53" s="137"/>
      <c r="I53" s="138"/>
      <c r="J53" s="136"/>
      <c r="K53" s="139"/>
      <c r="L53" s="140"/>
      <c r="M53" s="141" t="s">
        <v>18</v>
      </c>
      <c r="N53" s="8">
        <f>N50+N51+K52+M52</f>
        <v>0</v>
      </c>
      <c r="O53" s="142"/>
      <c r="P53" s="136"/>
      <c r="Q53" s="136"/>
      <c r="R53" s="143"/>
      <c r="S53" s="144"/>
      <c r="T53" s="136"/>
      <c r="U53" s="136"/>
      <c r="V53" s="136"/>
      <c r="W53" s="136"/>
      <c r="X53" s="394"/>
      <c r="Y53" s="94" t="s">
        <v>18</v>
      </c>
      <c r="Z53" s="10">
        <f>INT(SUM(Z50:Z52))</f>
        <v>0</v>
      </c>
    </row>
    <row r="54" spans="1:28" ht="19.5" customHeight="1" thickTop="1" thickBot="1">
      <c r="A54" s="145"/>
      <c r="B54" s="96" t="s">
        <v>21</v>
      </c>
      <c r="C54" s="146">
        <f>$A$55+$A$57</f>
        <v>0</v>
      </c>
      <c r="D54" s="147"/>
      <c r="E54" s="147"/>
      <c r="F54" s="148">
        <f>新刊!F54</f>
        <v>0</v>
      </c>
      <c r="G54" s="149">
        <f>C54*F54</f>
        <v>0</v>
      </c>
      <c r="H54" s="128"/>
      <c r="I54" s="150">
        <v>1</v>
      </c>
      <c r="J54" s="151">
        <f>A55+A57</f>
        <v>0</v>
      </c>
      <c r="K54" s="2"/>
      <c r="L54" s="152"/>
      <c r="M54" s="15"/>
      <c r="N54" s="3"/>
      <c r="O54" s="153"/>
      <c r="P54" s="147"/>
      <c r="Q54" s="154"/>
      <c r="R54" s="155"/>
      <c r="S54" s="156"/>
      <c r="T54" s="2"/>
      <c r="U54" s="46"/>
      <c r="V54" s="30"/>
      <c r="W54" s="319"/>
      <c r="X54" s="383"/>
      <c r="Y54" s="318"/>
      <c r="Z54" s="320"/>
    </row>
    <row r="55" spans="1:28" ht="19.5" customHeight="1" thickTop="1">
      <c r="A55" s="122"/>
      <c r="B55" s="63" t="s">
        <v>24</v>
      </c>
      <c r="C55" s="146">
        <f>$A$55+$A$57</f>
        <v>0</v>
      </c>
      <c r="D55" s="147"/>
      <c r="E55" s="147"/>
      <c r="F55" s="174">
        <f>新刊!F55</f>
        <v>0</v>
      </c>
      <c r="G55" s="149">
        <f>C55*F55</f>
        <v>0</v>
      </c>
      <c r="H55" s="160"/>
      <c r="I55" s="161"/>
      <c r="J55" s="147"/>
      <c r="K55" s="162"/>
      <c r="L55" s="163"/>
      <c r="M55" s="164"/>
      <c r="N55" s="165"/>
      <c r="O55" s="166"/>
      <c r="P55" s="147"/>
      <c r="Q55" s="167"/>
      <c r="R55" s="168"/>
      <c r="S55" s="169"/>
      <c r="T55" s="147"/>
      <c r="U55" s="147"/>
      <c r="V55" s="147"/>
      <c r="W55" s="170"/>
      <c r="X55" s="395"/>
      <c r="Y55" s="323"/>
      <c r="Z55" s="11"/>
    </row>
    <row r="56" spans="1:28" ht="19.5" customHeight="1">
      <c r="A56" s="81" t="s">
        <v>27</v>
      </c>
      <c r="B56" s="124" t="s">
        <v>47</v>
      </c>
      <c r="C56" s="171"/>
      <c r="D56" s="172"/>
      <c r="E56" s="173"/>
      <c r="F56" s="174"/>
      <c r="G56" s="165"/>
      <c r="H56" s="160"/>
      <c r="I56" s="161"/>
      <c r="J56" s="147"/>
      <c r="K56" s="162"/>
      <c r="L56" s="163"/>
      <c r="M56" s="164"/>
      <c r="N56" s="165"/>
      <c r="O56" s="153"/>
      <c r="P56" s="147"/>
      <c r="Q56" s="154"/>
      <c r="R56" s="155"/>
      <c r="S56" s="156"/>
      <c r="T56" s="4"/>
      <c r="U56" s="309"/>
      <c r="V56" s="157"/>
      <c r="W56" s="4"/>
      <c r="X56" s="396"/>
      <c r="Y56" s="158"/>
      <c r="Z56" s="5"/>
    </row>
    <row r="57" spans="1:28" ht="19.5" customHeight="1" thickBot="1">
      <c r="A57" s="82"/>
      <c r="B57" s="135"/>
      <c r="C57" s="136"/>
      <c r="D57" s="136"/>
      <c r="E57" s="136"/>
      <c r="F57" s="94" t="s">
        <v>18</v>
      </c>
      <c r="G57" s="8">
        <f>G54+G55+D56+F56</f>
        <v>0</v>
      </c>
      <c r="H57" s="137"/>
      <c r="I57" s="138"/>
      <c r="J57" s="136"/>
      <c r="K57" s="139"/>
      <c r="L57" s="140"/>
      <c r="M57" s="141" t="s">
        <v>18</v>
      </c>
      <c r="N57" s="8">
        <f>N54+N55+K56+M56</f>
        <v>0</v>
      </c>
      <c r="O57" s="142"/>
      <c r="P57" s="136"/>
      <c r="Q57" s="136"/>
      <c r="R57" s="143"/>
      <c r="S57" s="144"/>
      <c r="T57" s="136"/>
      <c r="U57" s="136"/>
      <c r="V57" s="136"/>
      <c r="W57" s="136"/>
      <c r="X57" s="136"/>
      <c r="Y57" s="94" t="s">
        <v>18</v>
      </c>
      <c r="Z57" s="10">
        <f>INT(SUM(Z54:Z56))</f>
        <v>0</v>
      </c>
    </row>
    <row r="58" spans="1:28" s="213" customFormat="1" ht="26.25" customHeight="1" thickTop="1" thickBot="1">
      <c r="A58" s="346"/>
      <c r="B58" s="347"/>
      <c r="C58" s="347"/>
      <c r="D58" s="347"/>
      <c r="E58" s="348" t="s">
        <v>74</v>
      </c>
      <c r="F58" s="339">
        <f>G58/$D$1</f>
        <v>142.54285714285714</v>
      </c>
      <c r="G58" s="349">
        <f>G16+G24+G29+G33+G37+G41+G45+G49+G53+G57</f>
        <v>498900</v>
      </c>
      <c r="H58" s="350" t="s">
        <v>75</v>
      </c>
      <c r="I58" s="238"/>
      <c r="J58" s="238"/>
      <c r="K58" s="238"/>
      <c r="L58" s="241" t="s">
        <v>76</v>
      </c>
      <c r="M58" s="239" t="e">
        <f ca="1">N58/$D$1</f>
        <v>#NAME?</v>
      </c>
      <c r="N58" s="240" t="e">
        <f ca="1">N16+N24+N29+N33+N37+N41+N45+N49+N53+N57</f>
        <v>#NAME?</v>
      </c>
      <c r="O58" s="242"/>
      <c r="P58" s="243"/>
      <c r="Q58" s="243"/>
      <c r="R58" s="243"/>
      <c r="S58" s="243"/>
      <c r="T58" s="243"/>
      <c r="U58" s="243"/>
      <c r="V58" s="243"/>
      <c r="W58" s="244" t="s">
        <v>76</v>
      </c>
      <c r="X58" s="310"/>
      <c r="Y58" s="245">
        <f>Z58/$D$1</f>
        <v>106.76371428571429</v>
      </c>
      <c r="Z58" s="240">
        <f>Z16+Z24+Z29+Z33+Z37+Z41+Z45+Z49+Z53+Z57</f>
        <v>373673</v>
      </c>
    </row>
    <row r="59" spans="1:28" s="213" customFormat="1" ht="26.25" customHeight="1" thickTop="1" thickBot="1">
      <c r="A59" s="439" t="s">
        <v>77</v>
      </c>
      <c r="B59" s="408"/>
      <c r="C59" s="408"/>
      <c r="D59" s="408"/>
      <c r="E59" s="440"/>
      <c r="F59" s="407" t="s">
        <v>167</v>
      </c>
      <c r="G59" s="408"/>
      <c r="H59" s="409"/>
      <c r="I59" s="441" t="s">
        <v>79</v>
      </c>
      <c r="J59" s="441"/>
      <c r="K59" s="441"/>
      <c r="L59" s="441"/>
      <c r="M59" s="441"/>
      <c r="N59" s="441"/>
      <c r="O59" s="441"/>
      <c r="P59" s="441"/>
      <c r="Q59" s="441"/>
      <c r="R59" s="441"/>
      <c r="S59" s="441"/>
      <c r="T59" s="441"/>
      <c r="U59" s="441"/>
      <c r="V59" s="441"/>
      <c r="W59" s="441"/>
      <c r="X59" s="441"/>
      <c r="Y59" s="441"/>
      <c r="Z59" s="442"/>
      <c r="AA59" s="246"/>
    </row>
    <row r="60" spans="1:28" s="213" customFormat="1" ht="26.25" customHeight="1" thickBot="1">
      <c r="A60" s="352" t="s">
        <v>80</v>
      </c>
      <c r="B60" s="247" t="s">
        <v>81</v>
      </c>
      <c r="C60" s="248" t="s">
        <v>82</v>
      </c>
      <c r="D60" s="249" t="s">
        <v>83</v>
      </c>
      <c r="E60" s="250" t="s">
        <v>84</v>
      </c>
      <c r="F60" s="340" t="s">
        <v>164</v>
      </c>
      <c r="G60" s="341" t="s">
        <v>165</v>
      </c>
      <c r="H60" s="353" t="s">
        <v>166</v>
      </c>
      <c r="I60" s="443"/>
      <c r="J60" s="443"/>
      <c r="K60" s="443"/>
      <c r="L60" s="443"/>
      <c r="M60" s="443"/>
      <c r="N60" s="443"/>
      <c r="O60" s="443"/>
      <c r="P60" s="443"/>
      <c r="Q60" s="443"/>
      <c r="R60" s="443"/>
      <c r="S60" s="443"/>
      <c r="T60" s="443"/>
      <c r="U60" s="443"/>
      <c r="V60" s="443"/>
      <c r="W60" s="443"/>
      <c r="X60" s="443"/>
      <c r="Y60" s="443"/>
      <c r="Z60" s="444"/>
      <c r="AA60" s="253"/>
      <c r="AB60" s="254"/>
    </row>
    <row r="61" spans="1:28" s="213" customFormat="1" ht="26.25" customHeight="1" thickBot="1">
      <c r="A61" s="354" t="s">
        <v>86</v>
      </c>
      <c r="B61" s="255">
        <f>ROUNDUP(X3/16,0)</f>
        <v>22</v>
      </c>
      <c r="C61" s="256">
        <f>新刊!C61</f>
        <v>0.9</v>
      </c>
      <c r="D61" s="233">
        <f>ROUND(B61*C61,2)</f>
        <v>19.8</v>
      </c>
      <c r="E61" s="257">
        <f t="shared" ref="E61:E74" si="0">ROUND(D61*$D$1,2)</f>
        <v>69300</v>
      </c>
      <c r="F61" s="342">
        <f>新刊!F61</f>
        <v>0.1</v>
      </c>
      <c r="G61" s="266"/>
      <c r="H61" s="355">
        <f>IF(G61="",F61*D1*J1,IF(G61&gt;D1,F61*D1*J1,F61*G61*J1))</f>
        <v>238000</v>
      </c>
      <c r="I61" s="445"/>
      <c r="J61" s="445"/>
      <c r="K61" s="445"/>
      <c r="L61" s="445"/>
      <c r="M61" s="445"/>
      <c r="N61" s="445"/>
      <c r="O61" s="445"/>
      <c r="P61" s="445"/>
      <c r="Q61" s="445"/>
      <c r="R61" s="445"/>
      <c r="S61" s="445"/>
      <c r="T61" s="445"/>
      <c r="U61" s="445"/>
      <c r="V61" s="445"/>
      <c r="W61" s="445"/>
      <c r="X61" s="445"/>
      <c r="Y61" s="445"/>
      <c r="Z61" s="446"/>
      <c r="AA61" s="253"/>
      <c r="AB61" s="254"/>
    </row>
    <row r="62" spans="1:28" s="213" customFormat="1" ht="26.25" customHeight="1">
      <c r="A62" s="356" t="s">
        <v>87</v>
      </c>
      <c r="B62" s="259">
        <f>IF(OR($U$3=2,$U$3=4,$U$3=8),1,ROUNDUP($U$3/16,0))</f>
        <v>0</v>
      </c>
      <c r="C62" s="256">
        <f>新刊!C62</f>
        <v>1</v>
      </c>
      <c r="D62" s="233">
        <f>ROUND(B62*C62,2)</f>
        <v>0</v>
      </c>
      <c r="E62" s="257">
        <f t="shared" si="0"/>
        <v>0</v>
      </c>
      <c r="F62" s="342"/>
      <c r="G62" s="266"/>
      <c r="H62" s="355">
        <f>IF(G62="",F62*($D$1-G61)*$J$1,IF(G61&gt;$D$1,F62*($D$1-G61)*$J$1,F62*(G62-G61)*$J$1))</f>
        <v>0</v>
      </c>
      <c r="I62" s="337" t="s">
        <v>89</v>
      </c>
      <c r="J62" s="503" t="s">
        <v>90</v>
      </c>
      <c r="K62" s="503" t="s">
        <v>91</v>
      </c>
      <c r="L62" s="503" t="s">
        <v>92</v>
      </c>
      <c r="M62" s="503" t="s">
        <v>93</v>
      </c>
      <c r="N62" s="505" t="s">
        <v>94</v>
      </c>
      <c r="O62" s="505" t="s">
        <v>95</v>
      </c>
      <c r="P62" s="503" t="s">
        <v>96</v>
      </c>
      <c r="Q62" s="503" t="s">
        <v>97</v>
      </c>
      <c r="R62" s="503" t="s">
        <v>98</v>
      </c>
      <c r="S62" s="503" t="s">
        <v>99</v>
      </c>
      <c r="T62" s="505" t="s">
        <v>100</v>
      </c>
      <c r="U62" s="413" t="s">
        <v>101</v>
      </c>
      <c r="V62" s="413"/>
      <c r="W62" s="503" t="s">
        <v>102</v>
      </c>
      <c r="X62" s="413" t="s">
        <v>103</v>
      </c>
      <c r="Y62" s="413"/>
      <c r="Z62" s="509" t="s">
        <v>104</v>
      </c>
      <c r="AA62" s="253"/>
      <c r="AB62" s="254"/>
    </row>
    <row r="63" spans="1:28" s="213" customFormat="1" ht="26.25" customHeight="1">
      <c r="A63" s="356" t="s">
        <v>105</v>
      </c>
      <c r="B63" s="261"/>
      <c r="C63" s="262"/>
      <c r="D63" s="256">
        <f>新刊!D63</f>
        <v>0</v>
      </c>
      <c r="E63" s="235">
        <f t="shared" si="0"/>
        <v>0</v>
      </c>
      <c r="F63" s="342"/>
      <c r="G63" s="266"/>
      <c r="H63" s="355">
        <f>IF(G63="",F63*($D$1-G62)*$J$1,IF(G62&gt;$D$1,F63*($D$1-G62)*$J$1,F63*(G63-G62)*$J$1))</f>
        <v>0</v>
      </c>
      <c r="I63" s="344" t="s">
        <v>106</v>
      </c>
      <c r="J63" s="504"/>
      <c r="K63" s="504"/>
      <c r="L63" s="504"/>
      <c r="M63" s="504"/>
      <c r="N63" s="506"/>
      <c r="O63" s="506"/>
      <c r="P63" s="504"/>
      <c r="Q63" s="504"/>
      <c r="R63" s="504"/>
      <c r="S63" s="504"/>
      <c r="T63" s="506"/>
      <c r="U63" s="414"/>
      <c r="V63" s="414"/>
      <c r="W63" s="504"/>
      <c r="X63" s="414"/>
      <c r="Y63" s="414"/>
      <c r="Z63" s="510"/>
      <c r="AA63" s="253"/>
      <c r="AB63" s="254"/>
    </row>
    <row r="64" spans="1:28" s="213" customFormat="1" ht="26.25" customHeight="1" thickBot="1">
      <c r="A64" s="356" t="s">
        <v>107</v>
      </c>
      <c r="B64" s="261"/>
      <c r="C64" s="262"/>
      <c r="D64" s="256">
        <f>新刊!D64</f>
        <v>1.8</v>
      </c>
      <c r="E64" s="235">
        <f t="shared" si="0"/>
        <v>6300</v>
      </c>
      <c r="F64" s="342"/>
      <c r="G64" s="266"/>
      <c r="H64" s="355">
        <f>IF(G64="",F64*($D$1-G63)*$J$1,IF(G63&gt;$D$1,F64*($D$1-G63)*$J$1,F64*(G64-G63)*$J$1))</f>
        <v>0</v>
      </c>
      <c r="I64" s="267"/>
      <c r="J64" s="267"/>
      <c r="K64" s="267"/>
      <c r="L64" s="437">
        <v>1</v>
      </c>
      <c r="M64" s="437">
        <f>$G$2</f>
        <v>0.35</v>
      </c>
      <c r="N64" s="511">
        <f>$G$2</f>
        <v>0.35</v>
      </c>
      <c r="O64" s="511">
        <f t="shared" ref="O64:Z64" si="1">O68/$L$68</f>
        <v>0</v>
      </c>
      <c r="P64" s="437">
        <f t="shared" si="1"/>
        <v>0.23433651072369246</v>
      </c>
      <c r="Q64" s="437" t="e">
        <f t="shared" ca="1" si="1"/>
        <v>#NAME?</v>
      </c>
      <c r="R64" s="437">
        <f t="shared" si="1"/>
        <v>0.14925373134328357</v>
      </c>
      <c r="S64" s="433" t="e">
        <f t="shared" ca="1" si="1"/>
        <v>#NAME?</v>
      </c>
      <c r="T64" s="435" t="e">
        <f t="shared" ca="1" si="1"/>
        <v>#NAME?</v>
      </c>
      <c r="U64" s="425">
        <f>U68/$L$68</f>
        <v>8.8000000000000009E-2</v>
      </c>
      <c r="V64" s="425"/>
      <c r="W64" s="437">
        <f t="shared" si="1"/>
        <v>0</v>
      </c>
      <c r="X64" s="415">
        <f>X68/$L$68</f>
        <v>8.8000000000000009E-2</v>
      </c>
      <c r="Y64" s="415"/>
      <c r="Z64" s="507" t="e">
        <f t="shared" ca="1" si="1"/>
        <v>#NAME?</v>
      </c>
      <c r="AA64" s="253"/>
      <c r="AB64" s="254"/>
    </row>
    <row r="65" spans="1:29" s="213" customFormat="1" ht="26.25" customHeight="1" thickTop="1" thickBot="1">
      <c r="A65" s="356" t="s">
        <v>109</v>
      </c>
      <c r="B65" s="261"/>
      <c r="C65" s="262"/>
      <c r="D65" s="256">
        <f>新刊!D65</f>
        <v>0</v>
      </c>
      <c r="E65" s="235">
        <f t="shared" si="0"/>
        <v>0</v>
      </c>
      <c r="F65" s="447" t="s">
        <v>88</v>
      </c>
      <c r="G65" s="448"/>
      <c r="H65" s="449"/>
      <c r="I65" s="268"/>
      <c r="J65" s="268"/>
      <c r="K65" s="268"/>
      <c r="L65" s="438"/>
      <c r="M65" s="438"/>
      <c r="N65" s="512"/>
      <c r="O65" s="512"/>
      <c r="P65" s="438"/>
      <c r="Q65" s="438"/>
      <c r="R65" s="438"/>
      <c r="S65" s="434"/>
      <c r="T65" s="436"/>
      <c r="U65" s="426"/>
      <c r="V65" s="426"/>
      <c r="W65" s="438"/>
      <c r="X65" s="416"/>
      <c r="Y65" s="416"/>
      <c r="Z65" s="508"/>
      <c r="AA65" s="253"/>
      <c r="AB65" s="254"/>
    </row>
    <row r="66" spans="1:29" s="213" customFormat="1" ht="26.25" customHeight="1">
      <c r="A66" s="356" t="s">
        <v>111</v>
      </c>
      <c r="B66" s="261"/>
      <c r="C66" s="262"/>
      <c r="D66" s="256">
        <f>新刊!D66</f>
        <v>1.1000000000000001</v>
      </c>
      <c r="E66" s="235">
        <f t="shared" si="0"/>
        <v>3850</v>
      </c>
      <c r="F66" s="340" t="s">
        <v>168</v>
      </c>
      <c r="G66" s="264"/>
      <c r="H66" s="357">
        <f>SUM(H61:H64)</f>
        <v>238000</v>
      </c>
      <c r="I66" s="431"/>
      <c r="J66" s="431"/>
      <c r="K66" s="431">
        <f>K68/$K$68</f>
        <v>1</v>
      </c>
      <c r="L66" s="431">
        <f>L68/$K$68</f>
        <v>455.6</v>
      </c>
      <c r="M66" s="498">
        <f>M68/$K$68</f>
        <v>0.35</v>
      </c>
      <c r="N66" s="494">
        <f>N68/$K$68</f>
        <v>159.46</v>
      </c>
      <c r="O66" s="494">
        <f>O68/$K$68</f>
        <v>0</v>
      </c>
      <c r="P66" s="431">
        <f t="shared" ref="P66:Z66" si="2">P68/$K$68</f>
        <v>106.76371428571429</v>
      </c>
      <c r="Q66" s="431" t="e">
        <f t="shared" ca="1" si="2"/>
        <v>#NAME?</v>
      </c>
      <c r="R66" s="431">
        <f t="shared" si="2"/>
        <v>68</v>
      </c>
      <c r="S66" s="496" t="e">
        <f t="shared" ca="1" si="2"/>
        <v>#NAME?</v>
      </c>
      <c r="T66" s="494" t="e">
        <f t="shared" ca="1" si="2"/>
        <v>#NAME?</v>
      </c>
      <c r="U66" s="427">
        <f>U68/$K$68</f>
        <v>40.092800000000004</v>
      </c>
      <c r="V66" s="427"/>
      <c r="W66" s="431">
        <f t="shared" si="2"/>
        <v>0</v>
      </c>
      <c r="X66" s="417">
        <f>X68/$K$68</f>
        <v>40.092800000000004</v>
      </c>
      <c r="Y66" s="417"/>
      <c r="Z66" s="490" t="e">
        <f t="shared" ca="1" si="2"/>
        <v>#NAME?</v>
      </c>
      <c r="AA66" s="253"/>
      <c r="AB66" s="254"/>
    </row>
    <row r="67" spans="1:29" s="213" customFormat="1" ht="26.25" customHeight="1">
      <c r="A67" s="356" t="s">
        <v>113</v>
      </c>
      <c r="B67" s="261"/>
      <c r="C67" s="262"/>
      <c r="D67" s="256">
        <f>新刊!D67</f>
        <v>1.1000000000000001</v>
      </c>
      <c r="E67" s="235">
        <f t="shared" si="0"/>
        <v>3850</v>
      </c>
      <c r="F67" s="265" t="s">
        <v>108</v>
      </c>
      <c r="G67" s="266"/>
      <c r="H67" s="355">
        <f>G67</f>
        <v>0</v>
      </c>
      <c r="I67" s="432"/>
      <c r="J67" s="432"/>
      <c r="K67" s="432"/>
      <c r="L67" s="432"/>
      <c r="M67" s="499"/>
      <c r="N67" s="495"/>
      <c r="O67" s="495"/>
      <c r="P67" s="432"/>
      <c r="Q67" s="432"/>
      <c r="R67" s="432"/>
      <c r="S67" s="497"/>
      <c r="T67" s="495"/>
      <c r="U67" s="428"/>
      <c r="V67" s="428"/>
      <c r="W67" s="432"/>
      <c r="X67" s="418"/>
      <c r="Y67" s="418"/>
      <c r="Z67" s="491"/>
      <c r="AA67" s="253"/>
      <c r="AB67" s="254"/>
    </row>
    <row r="68" spans="1:29" s="213" customFormat="1" ht="26.25" customHeight="1">
      <c r="A68" s="356" t="s">
        <v>114</v>
      </c>
      <c r="B68" s="261"/>
      <c r="C68" s="262"/>
      <c r="D68" s="256">
        <f>新刊!D68</f>
        <v>0</v>
      </c>
      <c r="E68" s="235">
        <f t="shared" si="0"/>
        <v>0</v>
      </c>
      <c r="F68" s="265" t="s">
        <v>110</v>
      </c>
      <c r="G68" s="266"/>
      <c r="H68" s="358">
        <f>G68</f>
        <v>0</v>
      </c>
      <c r="I68" s="345">
        <f>-I69*1.1</f>
        <v>-748.00000000000011</v>
      </c>
      <c r="J68" s="429">
        <f>I69*$G$1</f>
        <v>455.6</v>
      </c>
      <c r="K68" s="429">
        <f>$D$1</f>
        <v>3500</v>
      </c>
      <c r="L68" s="429">
        <f>J68*K68</f>
        <v>1594600</v>
      </c>
      <c r="M68" s="429">
        <f>K68*M64</f>
        <v>1225</v>
      </c>
      <c r="N68" s="492">
        <f>L68*N64</f>
        <v>558110</v>
      </c>
      <c r="O68" s="492">
        <f>$J$2</f>
        <v>0</v>
      </c>
      <c r="P68" s="429">
        <f>Z58</f>
        <v>373673</v>
      </c>
      <c r="Q68" s="429" t="e">
        <f ca="1">G58+N58+E77+E80</f>
        <v>#NAME?</v>
      </c>
      <c r="R68" s="429">
        <f>H70</f>
        <v>238000</v>
      </c>
      <c r="S68" s="429" t="e">
        <f ca="1">P68+Q68+R68</f>
        <v>#NAME?</v>
      </c>
      <c r="T68" s="487" t="e">
        <f ca="1">N68+O68-S68</f>
        <v>#NAME?</v>
      </c>
      <c r="U68" s="419">
        <f>H76</f>
        <v>140324.80000000002</v>
      </c>
      <c r="V68" s="419"/>
      <c r="W68" s="429">
        <f>H80</f>
        <v>0</v>
      </c>
      <c r="X68" s="419">
        <f>U68+W68</f>
        <v>140324.80000000002</v>
      </c>
      <c r="Y68" s="419"/>
      <c r="Z68" s="500" t="e">
        <f ca="1">T68-X68</f>
        <v>#NAME?</v>
      </c>
      <c r="AA68" s="253"/>
      <c r="AB68" s="254"/>
    </row>
    <row r="69" spans="1:29" s="213" customFormat="1" ht="26.25" customHeight="1" thickBot="1">
      <c r="A69" s="356" t="s">
        <v>116</v>
      </c>
      <c r="B69" s="261"/>
      <c r="C69" s="262"/>
      <c r="D69" s="256">
        <f>新刊!D69</f>
        <v>2.5</v>
      </c>
      <c r="E69" s="235">
        <f t="shared" si="0"/>
        <v>8750</v>
      </c>
      <c r="F69" s="269" t="s">
        <v>112</v>
      </c>
      <c r="G69" s="270"/>
      <c r="H69" s="359">
        <f>G69</f>
        <v>0</v>
      </c>
      <c r="I69" s="338">
        <f>$J$1</f>
        <v>680</v>
      </c>
      <c r="J69" s="430"/>
      <c r="K69" s="430"/>
      <c r="L69" s="430"/>
      <c r="M69" s="430"/>
      <c r="N69" s="493"/>
      <c r="O69" s="493"/>
      <c r="P69" s="430"/>
      <c r="Q69" s="430"/>
      <c r="R69" s="430"/>
      <c r="S69" s="430"/>
      <c r="T69" s="453"/>
      <c r="U69" s="420"/>
      <c r="V69" s="420"/>
      <c r="W69" s="430"/>
      <c r="X69" s="420"/>
      <c r="Y69" s="420"/>
      <c r="Z69" s="455"/>
      <c r="AA69" s="253"/>
      <c r="AB69" s="254"/>
    </row>
    <row r="70" spans="1:29" s="213" customFormat="1" ht="26.25" customHeight="1" thickTop="1" thickBot="1">
      <c r="A70" s="356" t="s">
        <v>118</v>
      </c>
      <c r="B70" s="261"/>
      <c r="C70" s="262"/>
      <c r="D70" s="256">
        <f>新刊!D70</f>
        <v>0</v>
      </c>
      <c r="E70" s="235">
        <f t="shared" si="0"/>
        <v>0</v>
      </c>
      <c r="F70" s="258" t="s">
        <v>74</v>
      </c>
      <c r="G70" s="271">
        <f>H70/$D$1</f>
        <v>68</v>
      </c>
      <c r="H70" s="360">
        <f>SUM(H66:H69)</f>
        <v>238000</v>
      </c>
      <c r="I70" s="441" t="s">
        <v>120</v>
      </c>
      <c r="J70" s="441"/>
      <c r="K70" s="441"/>
      <c r="L70" s="441"/>
      <c r="M70" s="441"/>
      <c r="N70" s="441"/>
      <c r="O70" s="441"/>
      <c r="P70" s="442"/>
      <c r="Q70" s="501" t="s">
        <v>121</v>
      </c>
      <c r="R70" s="441"/>
      <c r="S70" s="441"/>
      <c r="T70" s="441"/>
      <c r="U70" s="441"/>
      <c r="V70" s="441"/>
      <c r="W70" s="441"/>
      <c r="X70" s="441"/>
      <c r="Y70" s="441"/>
      <c r="Z70" s="442"/>
      <c r="AA70" s="253"/>
      <c r="AB70" s="254"/>
    </row>
    <row r="71" spans="1:29" s="213" customFormat="1" ht="26.25" customHeight="1" thickTop="1" thickBot="1">
      <c r="A71" s="356" t="s">
        <v>122</v>
      </c>
      <c r="B71" s="261"/>
      <c r="C71" s="262"/>
      <c r="D71" s="256">
        <f>新刊!D71</f>
        <v>0</v>
      </c>
      <c r="E71" s="235">
        <f t="shared" si="0"/>
        <v>0</v>
      </c>
      <c r="F71" s="447" t="s">
        <v>115</v>
      </c>
      <c r="G71" s="448"/>
      <c r="H71" s="449"/>
      <c r="I71" s="445"/>
      <c r="J71" s="445"/>
      <c r="K71" s="445"/>
      <c r="L71" s="445"/>
      <c r="M71" s="445"/>
      <c r="N71" s="445"/>
      <c r="O71" s="445"/>
      <c r="P71" s="446"/>
      <c r="Q71" s="502"/>
      <c r="R71" s="445"/>
      <c r="S71" s="445"/>
      <c r="T71" s="445"/>
      <c r="U71" s="445"/>
      <c r="V71" s="445"/>
      <c r="W71" s="445"/>
      <c r="X71" s="445"/>
      <c r="Y71" s="445"/>
      <c r="Z71" s="446"/>
      <c r="AA71" s="253"/>
      <c r="AB71" s="254"/>
    </row>
    <row r="72" spans="1:29" s="213" customFormat="1" ht="26.25" customHeight="1">
      <c r="A72" s="361" t="s">
        <v>124</v>
      </c>
      <c r="B72" s="261"/>
      <c r="C72" s="262"/>
      <c r="D72" s="256">
        <f>新刊!D72</f>
        <v>0</v>
      </c>
      <c r="E72" s="235">
        <f t="shared" si="0"/>
        <v>0</v>
      </c>
      <c r="F72" s="272" t="s">
        <v>117</v>
      </c>
      <c r="G72" s="273"/>
      <c r="H72" s="362">
        <f>G72</f>
        <v>0</v>
      </c>
      <c r="I72" s="480" t="s">
        <v>126</v>
      </c>
      <c r="J72" s="481"/>
      <c r="K72" s="483" t="s">
        <v>127</v>
      </c>
      <c r="L72" s="485">
        <f>$G$2</f>
        <v>0.35</v>
      </c>
      <c r="M72" s="483" t="s">
        <v>128</v>
      </c>
      <c r="N72" s="483">
        <f>M68</f>
        <v>1225</v>
      </c>
      <c r="O72" s="483" t="s">
        <v>129</v>
      </c>
      <c r="P72" s="478">
        <f>N68</f>
        <v>558110</v>
      </c>
      <c r="Q72" s="488" t="s">
        <v>126</v>
      </c>
      <c r="R72" s="481"/>
      <c r="S72" s="483" t="s">
        <v>127</v>
      </c>
      <c r="T72" s="485">
        <f>$G$2</f>
        <v>0.35</v>
      </c>
      <c r="U72" s="421" t="s">
        <v>128</v>
      </c>
      <c r="V72" s="421"/>
      <c r="W72" s="483">
        <f>M68</f>
        <v>1225</v>
      </c>
      <c r="X72" s="421" t="s">
        <v>129</v>
      </c>
      <c r="Y72" s="421"/>
      <c r="Z72" s="478">
        <f>N68</f>
        <v>558110</v>
      </c>
      <c r="AA72" s="253"/>
      <c r="AB72" s="254"/>
    </row>
    <row r="73" spans="1:29" s="213" customFormat="1" ht="26.25" customHeight="1">
      <c r="A73" s="361"/>
      <c r="B73" s="261"/>
      <c r="C73" s="262"/>
      <c r="D73" s="236"/>
      <c r="E73" s="235">
        <f t="shared" si="0"/>
        <v>0</v>
      </c>
      <c r="F73" s="265" t="s">
        <v>119</v>
      </c>
      <c r="G73" s="274"/>
      <c r="H73" s="363">
        <f>G73</f>
        <v>0</v>
      </c>
      <c r="I73" s="482"/>
      <c r="J73" s="482"/>
      <c r="K73" s="484"/>
      <c r="L73" s="486"/>
      <c r="M73" s="484"/>
      <c r="N73" s="484"/>
      <c r="O73" s="484"/>
      <c r="P73" s="479"/>
      <c r="Q73" s="489"/>
      <c r="R73" s="482"/>
      <c r="S73" s="484"/>
      <c r="T73" s="486"/>
      <c r="U73" s="422"/>
      <c r="V73" s="422"/>
      <c r="W73" s="484"/>
      <c r="X73" s="422"/>
      <c r="Y73" s="422"/>
      <c r="Z73" s="479"/>
      <c r="AA73" s="253"/>
      <c r="AB73" s="254"/>
    </row>
    <row r="74" spans="1:29" s="213" customFormat="1" ht="26.25" customHeight="1">
      <c r="A74" s="364" t="s">
        <v>130</v>
      </c>
      <c r="B74" s="277">
        <v>0</v>
      </c>
      <c r="C74" s="278" t="s">
        <v>131</v>
      </c>
      <c r="D74" s="256">
        <f>ROUND((D61+D62+D63+D64+D65+D66+D67+D68+D69+D70+D71+D72+D73)*$B$74*1/100,2)</f>
        <v>0</v>
      </c>
      <c r="E74" s="279">
        <f t="shared" si="0"/>
        <v>0</v>
      </c>
      <c r="F74" s="265" t="s">
        <v>123</v>
      </c>
      <c r="G74" s="275"/>
      <c r="H74" s="363">
        <f>G74</f>
        <v>0</v>
      </c>
      <c r="I74" s="471" t="s">
        <v>133</v>
      </c>
      <c r="J74" s="471"/>
      <c r="K74" s="474" t="s">
        <v>127</v>
      </c>
      <c r="L74" s="476" t="e">
        <f ca="1">((S68+X68)-O68)/L68</f>
        <v>#NAME?</v>
      </c>
      <c r="M74" s="474" t="s">
        <v>128</v>
      </c>
      <c r="N74" s="474" t="e">
        <f ca="1">K68*L74</f>
        <v>#NAME?</v>
      </c>
      <c r="O74" s="474" t="s">
        <v>129</v>
      </c>
      <c r="P74" s="460" t="e">
        <f ca="1">L74*L68</f>
        <v>#NAME?</v>
      </c>
      <c r="Q74" s="470" t="s">
        <v>134</v>
      </c>
      <c r="R74" s="471"/>
      <c r="S74" s="474" t="s">
        <v>127</v>
      </c>
      <c r="T74" s="476" t="e">
        <f ca="1">(S68-O68)/L68</f>
        <v>#NAME?</v>
      </c>
      <c r="U74" s="423" t="s">
        <v>128</v>
      </c>
      <c r="V74" s="423"/>
      <c r="W74" s="474" t="e">
        <f ca="1">K68*T74</f>
        <v>#NAME?</v>
      </c>
      <c r="X74" s="423" t="s">
        <v>129</v>
      </c>
      <c r="Y74" s="423"/>
      <c r="Z74" s="460" t="e">
        <f ca="1">W74*J68</f>
        <v>#NAME?</v>
      </c>
      <c r="AA74" s="253"/>
      <c r="AB74" s="254"/>
    </row>
    <row r="75" spans="1:29" s="213" customFormat="1" ht="26.25" customHeight="1" thickBot="1">
      <c r="A75" s="354" t="s">
        <v>135</v>
      </c>
      <c r="B75" s="280"/>
      <c r="C75" s="237"/>
      <c r="D75" s="233">
        <f>SUM(D61:D74)</f>
        <v>26.300000000000004</v>
      </c>
      <c r="E75" s="281">
        <f>IF(SUM(E61:E74)&gt;42000,SUM(E61:E74),42000)</f>
        <v>92050</v>
      </c>
      <c r="F75" s="269" t="s">
        <v>125</v>
      </c>
      <c r="G75" s="276">
        <f>新刊!G75</f>
        <v>8.7999999999999995E-2</v>
      </c>
      <c r="H75" s="359">
        <f>N68*G75*100%/$G$2</f>
        <v>140324.80000000002</v>
      </c>
      <c r="I75" s="473"/>
      <c r="J75" s="473"/>
      <c r="K75" s="475"/>
      <c r="L75" s="477"/>
      <c r="M75" s="475"/>
      <c r="N75" s="475"/>
      <c r="O75" s="475"/>
      <c r="P75" s="461"/>
      <c r="Q75" s="472"/>
      <c r="R75" s="473"/>
      <c r="S75" s="475"/>
      <c r="T75" s="477"/>
      <c r="U75" s="424"/>
      <c r="V75" s="424"/>
      <c r="W75" s="475"/>
      <c r="X75" s="424"/>
      <c r="Y75" s="424"/>
      <c r="Z75" s="461"/>
      <c r="AA75" s="282"/>
      <c r="AB75" s="254"/>
    </row>
    <row r="76" spans="1:29" s="213" customFormat="1" ht="26.25" customHeight="1" thickBot="1">
      <c r="A76" s="365" t="s">
        <v>149</v>
      </c>
      <c r="B76" s="283"/>
      <c r="C76" s="284"/>
      <c r="D76" s="285">
        <v>1.1000000000000001</v>
      </c>
      <c r="E76" s="286">
        <f>$M$1*D76</f>
        <v>3300.0000000000005</v>
      </c>
      <c r="F76" s="258" t="s">
        <v>74</v>
      </c>
      <c r="G76" s="271">
        <f>H76/$D$1</f>
        <v>40.092800000000004</v>
      </c>
      <c r="H76" s="360">
        <f>SUM(H72:H75)</f>
        <v>140324.80000000002</v>
      </c>
      <c r="I76" s="462" t="s">
        <v>133</v>
      </c>
      <c r="J76" s="462"/>
      <c r="K76" s="464" t="e">
        <f ca="1">IF(L72&gt;L74,"超過売上率","未達売上率")</f>
        <v>#NAME?</v>
      </c>
      <c r="L76" s="450" t="e">
        <f ca="1">L72-L74</f>
        <v>#NAME?</v>
      </c>
      <c r="M76" s="464" t="e">
        <f ca="1">IF(N72&gt;N74,"超過売上数","未達売上数")</f>
        <v>#NAME?</v>
      </c>
      <c r="N76" s="452" t="e">
        <f ca="1">N72-N74</f>
        <v>#NAME?</v>
      </c>
      <c r="O76" s="466" t="e">
        <f ca="1">IF(P72&gt;P74,"超過売上高　(営業利益)","未達売上高　(営業利益)")</f>
        <v>#NAME?</v>
      </c>
      <c r="P76" s="454" t="e">
        <f ca="1">P72-P74</f>
        <v>#NAME?</v>
      </c>
      <c r="Q76" s="468" t="s">
        <v>134</v>
      </c>
      <c r="R76" s="462"/>
      <c r="S76" s="464" t="e">
        <f ca="1">IF(T72&gt;T74,"超過売上率","未達売上率")</f>
        <v>#NAME?</v>
      </c>
      <c r="T76" s="450" t="e">
        <f ca="1">T72-T74</f>
        <v>#NAME?</v>
      </c>
      <c r="U76" s="456" t="e">
        <f ca="1">IF(W72&gt;W74,"超過売上数","未達売上数")</f>
        <v>#NAME?</v>
      </c>
      <c r="V76" s="456"/>
      <c r="W76" s="452" t="e">
        <f ca="1">W72-W74</f>
        <v>#NAME?</v>
      </c>
      <c r="X76" s="458" t="e">
        <f ca="1">IF(Z72&gt;Z74,"超過売上高　(限界利益)","未達売上高　(限界利益)")</f>
        <v>#NAME?</v>
      </c>
      <c r="Y76" s="458"/>
      <c r="Z76" s="454" t="e">
        <f ca="1">Z72-Z74</f>
        <v>#NAME?</v>
      </c>
      <c r="AA76" s="254"/>
      <c r="AB76" s="254"/>
    </row>
    <row r="77" spans="1:29" s="213" customFormat="1" ht="26.25" customHeight="1" thickTop="1" thickBot="1">
      <c r="A77" s="366" t="s">
        <v>74</v>
      </c>
      <c r="B77" s="289"/>
      <c r="C77" s="290"/>
      <c r="D77" s="291">
        <f>D75+D76</f>
        <v>27.400000000000006</v>
      </c>
      <c r="E77" s="292">
        <f>E75+E76</f>
        <v>95350</v>
      </c>
      <c r="F77" s="447" t="s">
        <v>132</v>
      </c>
      <c r="G77" s="448"/>
      <c r="H77" s="449"/>
      <c r="I77" s="463"/>
      <c r="J77" s="463"/>
      <c r="K77" s="465"/>
      <c r="L77" s="451"/>
      <c r="M77" s="465"/>
      <c r="N77" s="453"/>
      <c r="O77" s="467"/>
      <c r="P77" s="455"/>
      <c r="Q77" s="469"/>
      <c r="R77" s="463"/>
      <c r="S77" s="465"/>
      <c r="T77" s="451"/>
      <c r="U77" s="457"/>
      <c r="V77" s="457"/>
      <c r="W77" s="453"/>
      <c r="X77" s="459"/>
      <c r="Y77" s="459"/>
      <c r="Z77" s="455"/>
    </row>
    <row r="78" spans="1:29" s="213" customFormat="1" ht="26.25" customHeight="1" thickTop="1" thickBot="1">
      <c r="A78" s="404" t="s">
        <v>78</v>
      </c>
      <c r="B78" s="405"/>
      <c r="C78" s="405"/>
      <c r="D78" s="405"/>
      <c r="E78" s="406"/>
      <c r="F78" s="263" t="s">
        <v>136</v>
      </c>
      <c r="G78" s="274"/>
      <c r="H78" s="363">
        <f>G78</f>
        <v>0</v>
      </c>
      <c r="I78" s="376"/>
      <c r="J78" s="376"/>
      <c r="K78" s="376"/>
      <c r="L78" s="293"/>
      <c r="M78" s="293"/>
      <c r="N78" s="294"/>
      <c r="O78" s="295"/>
      <c r="P78" s="294"/>
      <c r="Q78" s="296"/>
      <c r="R78" s="294"/>
      <c r="S78" s="296"/>
      <c r="T78" s="293"/>
      <c r="U78" s="293"/>
      <c r="V78" s="294"/>
      <c r="W78" s="295"/>
      <c r="X78" s="295"/>
      <c r="Y78" s="294"/>
      <c r="Z78" s="296"/>
      <c r="AA78" s="296"/>
      <c r="AB78" s="294"/>
      <c r="AC78" s="296" t="e">
        <f ca="1">IF(Z76&gt;AC80,"達成","未達")</f>
        <v>#NAME?</v>
      </c>
    </row>
    <row r="79" spans="1:29" s="213" customFormat="1" ht="26.25" customHeight="1" thickTop="1" thickBot="1">
      <c r="A79" s="367" t="s">
        <v>85</v>
      </c>
      <c r="B79" s="343"/>
      <c r="C79" s="343"/>
      <c r="D79" s="251">
        <v>0</v>
      </c>
      <c r="E79" s="252">
        <f>D79*$D$1</f>
        <v>0</v>
      </c>
      <c r="F79" s="287" t="s">
        <v>137</v>
      </c>
      <c r="G79" s="288"/>
      <c r="H79" s="359">
        <f>G79</f>
        <v>0</v>
      </c>
      <c r="I79" s="375"/>
      <c r="J79" s="375"/>
      <c r="K79" s="375"/>
      <c r="L79" s="516" t="s">
        <v>139</v>
      </c>
      <c r="M79" s="517"/>
      <c r="N79" s="517"/>
      <c r="O79" s="517"/>
      <c r="P79" s="517"/>
      <c r="Q79" s="517"/>
      <c r="R79" s="517"/>
      <c r="S79" s="518"/>
      <c r="T79" s="516" t="s">
        <v>140</v>
      </c>
      <c r="U79" s="517"/>
      <c r="V79" s="517"/>
      <c r="W79" s="517"/>
      <c r="X79" s="517"/>
      <c r="Y79" s="517"/>
      <c r="Z79" s="517"/>
      <c r="AA79" s="517"/>
      <c r="AB79" s="517"/>
      <c r="AC79" s="518"/>
    </row>
    <row r="80" spans="1:29" s="213" customFormat="1" ht="26.25" customHeight="1" thickBot="1">
      <c r="A80" s="368" t="s">
        <v>74</v>
      </c>
      <c r="B80" s="369"/>
      <c r="C80" s="369"/>
      <c r="D80" s="370">
        <f>E80/$D$1</f>
        <v>0</v>
      </c>
      <c r="E80" s="371">
        <f>SUM(E79)</f>
        <v>0</v>
      </c>
      <c r="F80" s="372" t="s">
        <v>74</v>
      </c>
      <c r="G80" s="373">
        <f>H80/$D$1</f>
        <v>0</v>
      </c>
      <c r="H80" s="374">
        <f>SUM(H78:H79)</f>
        <v>0</v>
      </c>
      <c r="I80" s="351"/>
      <c r="J80" s="351"/>
      <c r="K80" s="351"/>
      <c r="L80" s="297" t="s">
        <v>141</v>
      </c>
      <c r="M80" s="298"/>
      <c r="N80" s="299" t="s">
        <v>142</v>
      </c>
      <c r="O80" s="300">
        <v>2.6</v>
      </c>
      <c r="P80" s="299" t="s">
        <v>142</v>
      </c>
      <c r="Q80" s="301">
        <v>2</v>
      </c>
      <c r="R80" s="302" t="s">
        <v>143</v>
      </c>
      <c r="S80" s="303">
        <f>M80*O80*Q80</f>
        <v>0</v>
      </c>
      <c r="T80" s="304" t="s">
        <v>144</v>
      </c>
      <c r="U80" s="305"/>
      <c r="V80" s="305">
        <f>S80</f>
        <v>0</v>
      </c>
      <c r="W80" s="302" t="s">
        <v>145</v>
      </c>
      <c r="X80" s="302"/>
      <c r="Y80" s="305" t="s">
        <v>146</v>
      </c>
      <c r="Z80" s="306">
        <v>12</v>
      </c>
      <c r="AA80" s="519" t="s">
        <v>143</v>
      </c>
      <c r="AB80" s="519"/>
      <c r="AC80" s="307">
        <f>V80/Z80</f>
        <v>0</v>
      </c>
    </row>
    <row r="81" spans="6:11" s="213" customFormat="1" ht="20.25">
      <c r="H81" s="351"/>
      <c r="I81" s="377"/>
      <c r="J81" s="377"/>
      <c r="K81" s="377"/>
    </row>
    <row r="82" spans="6:11" s="213" customFormat="1" ht="14.25">
      <c r="H82" s="515" t="s">
        <v>138</v>
      </c>
    </row>
    <row r="83" spans="6:11" s="213" customFormat="1" ht="14.25">
      <c r="H83" s="515"/>
    </row>
    <row r="84" spans="6:11" ht="14.25">
      <c r="F84" s="213"/>
      <c r="G84" s="213"/>
      <c r="H84" s="213"/>
    </row>
    <row r="85" spans="6:11" ht="14.25">
      <c r="F85" s="213"/>
      <c r="G85" s="213"/>
      <c r="H85" s="213"/>
    </row>
    <row r="86" spans="6:11" ht="14.25">
      <c r="F86" s="213"/>
      <c r="G86" s="213"/>
      <c r="H86" s="213"/>
    </row>
  </sheetData>
  <mergeCells count="117">
    <mergeCell ref="A78:E78"/>
    <mergeCell ref="A59:E59"/>
    <mergeCell ref="I59:Z61"/>
    <mergeCell ref="F65:H65"/>
    <mergeCell ref="J62:J63"/>
    <mergeCell ref="K62:K63"/>
    <mergeCell ref="L62:L63"/>
    <mergeCell ref="M62:M63"/>
    <mergeCell ref="N62:N63"/>
    <mergeCell ref="O62:O63"/>
    <mergeCell ref="F59:H59"/>
    <mergeCell ref="L64:L65"/>
    <mergeCell ref="M64:M65"/>
    <mergeCell ref="N64:N65"/>
    <mergeCell ref="O64:O65"/>
    <mergeCell ref="P64:P65"/>
    <mergeCell ref="Q64:Q65"/>
    <mergeCell ref="R64:R65"/>
    <mergeCell ref="P62:P63"/>
    <mergeCell ref="Q62:Q63"/>
    <mergeCell ref="R62:R63"/>
    <mergeCell ref="S64:S65"/>
    <mergeCell ref="T64:T65"/>
    <mergeCell ref="U64:V65"/>
    <mergeCell ref="W64:W65"/>
    <mergeCell ref="X64:Y65"/>
    <mergeCell ref="Z64:Z65"/>
    <mergeCell ref="W62:W63"/>
    <mergeCell ref="X62:Y63"/>
    <mergeCell ref="Z62:Z63"/>
    <mergeCell ref="S62:S63"/>
    <mergeCell ref="T62:T63"/>
    <mergeCell ref="U62:V63"/>
    <mergeCell ref="U66:V67"/>
    <mergeCell ref="W66:W67"/>
    <mergeCell ref="X66:Y67"/>
    <mergeCell ref="Z66:Z67"/>
    <mergeCell ref="F71:H71"/>
    <mergeCell ref="J68:J69"/>
    <mergeCell ref="K68:K69"/>
    <mergeCell ref="L68:L69"/>
    <mergeCell ref="M68:M69"/>
    <mergeCell ref="N68:N69"/>
    <mergeCell ref="O66:O67"/>
    <mergeCell ref="P66:P67"/>
    <mergeCell ref="Q66:Q67"/>
    <mergeCell ref="R66:R67"/>
    <mergeCell ref="S66:S67"/>
    <mergeCell ref="T66:T67"/>
    <mergeCell ref="I66:I67"/>
    <mergeCell ref="J66:J67"/>
    <mergeCell ref="K66:K67"/>
    <mergeCell ref="L66:L67"/>
    <mergeCell ref="M66:M67"/>
    <mergeCell ref="N66:N67"/>
    <mergeCell ref="N72:N73"/>
    <mergeCell ref="O72:O73"/>
    <mergeCell ref="U68:V69"/>
    <mergeCell ref="W68:W69"/>
    <mergeCell ref="X68:Y69"/>
    <mergeCell ref="Z68:Z69"/>
    <mergeCell ref="I70:P71"/>
    <mergeCell ref="Q70:Z71"/>
    <mergeCell ref="O68:O69"/>
    <mergeCell ref="P68:P69"/>
    <mergeCell ref="Q68:Q69"/>
    <mergeCell ref="R68:R69"/>
    <mergeCell ref="S68:S69"/>
    <mergeCell ref="T68:T69"/>
    <mergeCell ref="T74:T75"/>
    <mergeCell ref="U74:V75"/>
    <mergeCell ref="W74:W75"/>
    <mergeCell ref="X74:Y75"/>
    <mergeCell ref="X72:Y73"/>
    <mergeCell ref="Z72:Z73"/>
    <mergeCell ref="F77:H77"/>
    <mergeCell ref="I74:J75"/>
    <mergeCell ref="K74:K75"/>
    <mergeCell ref="L74:L75"/>
    <mergeCell ref="M74:M75"/>
    <mergeCell ref="N74:N75"/>
    <mergeCell ref="O74:O75"/>
    <mergeCell ref="P74:P75"/>
    <mergeCell ref="P72:P73"/>
    <mergeCell ref="Q72:R73"/>
    <mergeCell ref="S72:S73"/>
    <mergeCell ref="T72:T73"/>
    <mergeCell ref="U72:V73"/>
    <mergeCell ref="W72:W73"/>
    <mergeCell ref="I72:J73"/>
    <mergeCell ref="K72:K73"/>
    <mergeCell ref="L72:L73"/>
    <mergeCell ref="M72:M73"/>
    <mergeCell ref="B3:C3"/>
    <mergeCell ref="D3:J3"/>
    <mergeCell ref="V3:W3"/>
    <mergeCell ref="T76:T77"/>
    <mergeCell ref="U76:V77"/>
    <mergeCell ref="W76:W77"/>
    <mergeCell ref="X76:Y77"/>
    <mergeCell ref="Z76:Z77"/>
    <mergeCell ref="H82:H83"/>
    <mergeCell ref="L79:S79"/>
    <mergeCell ref="T79:AC79"/>
    <mergeCell ref="AA80:AB80"/>
    <mergeCell ref="Z74:Z75"/>
    <mergeCell ref="I76:J77"/>
    <mergeCell ref="K76:K77"/>
    <mergeCell ref="L76:L77"/>
    <mergeCell ref="M76:M77"/>
    <mergeCell ref="N76:N77"/>
    <mergeCell ref="O76:O77"/>
    <mergeCell ref="P76:P77"/>
    <mergeCell ref="Q76:R77"/>
    <mergeCell ref="S76:S77"/>
    <mergeCell ref="Q74:R75"/>
    <mergeCell ref="S74:S75"/>
  </mergeCells>
  <phoneticPr fontId="16"/>
  <printOptions horizontalCentered="1" verticalCentered="1" gridLinesSet="0"/>
  <pageMargins left="0.19685039370078741" right="0.19685039370078741" top="0.19685039370078741" bottom="0.19685039370078741" header="0" footer="0"/>
  <pageSetup paperSize="9" scale="3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新刊</vt:lpstr>
      <vt:lpstr>重版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祥伝社</dc:creator>
  <cp:lastModifiedBy>大久保 宜紀</cp:lastModifiedBy>
  <cp:lastPrinted>2025-11-06T04:10:04Z</cp:lastPrinted>
  <dcterms:created xsi:type="dcterms:W3CDTF">1998-04-13T08:33:16Z</dcterms:created>
  <dcterms:modified xsi:type="dcterms:W3CDTF">2026-04-02T01:57:09Z</dcterms:modified>
</cp:coreProperties>
</file>